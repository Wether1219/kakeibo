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4.xml.rels" ContentType="application/vnd.openxmlformats-package.relationships+xml"/>
  <Override PartName="/xl/worksheets/_rels/sheet8.xml.rels" ContentType="application/vnd.openxmlformats-package.relationships+xml"/>
  <Override PartName="/xl/worksheets/_rels/sheet11.xml.rels" ContentType="application/vnd.openxmlformats-package.relationships+xml"/>
  <Override PartName="/xl/worksheets/_rels/sheet6.xml.rels" ContentType="application/vnd.openxmlformats-package.relationships+xml"/>
  <Override PartName="/xl/worksheets/_rels/sheet12.xml.rels" ContentType="application/vnd.openxmlformats-package.relationships+xml"/>
  <Override PartName="/xl/worksheets/_rels/sheet17.xml.rels" ContentType="application/vnd.openxmlformats-package.relationships+xml"/>
  <Override PartName="/xl/worksheets/_rels/sheet16.xml.rels" ContentType="application/vnd.openxmlformats-package.relationships+xml"/>
  <Override PartName="/xl/worksheets/_rels/sheet15.xml.rels" ContentType="application/vnd.openxmlformats-package.relationships+xml"/>
  <Override PartName="/xl/worksheets/_rels/sheet9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10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xl/drawings/drawing13.xml" ContentType="application/vnd.openxmlformats-officedocument.drawing+xml"/>
  <Override PartName="/xl/drawings/drawing4.xml" ContentType="application/vnd.openxmlformats-officedocument.drawing+xml"/>
  <Override PartName="/xl/drawings/drawing14.xml" ContentType="application/vnd.openxmlformats-officedocument.drawing+xml"/>
  <Override PartName="/xl/drawings/drawing5.xml" ContentType="application/vnd.openxmlformats-officedocument.drawing+xml"/>
  <Override PartName="/xl/drawings/drawing15.xml" ContentType="application/vnd.openxmlformats-officedocument.drawing+xml"/>
  <Override PartName="/xl/drawings/drawing6.xml" ContentType="application/vnd.openxmlformats-officedocument.drawing+xml"/>
  <Override PartName="/xl/drawings/drawing10.xml" ContentType="application/vnd.openxmlformats-officedocument.drawing+xml"/>
  <Override PartName="/xl/drawings/drawing1.xml" ContentType="application/vnd.openxmlformats-officedocument.drawing+xml"/>
  <Override PartName="/xl/drawings/drawing7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8.xml" ContentType="application/vnd.openxmlformats-officedocument.drawing+xml"/>
  <Override PartName="/xl/drawings/_rels/drawing3.xml.rels" ContentType="application/vnd.openxmlformats-package.relationships+xml"/>
  <Override PartName="/xl/drawings/_rels/drawing8.xml.rels" ContentType="application/vnd.openxmlformats-package.relationships+xml"/>
  <Override PartName="/xl/drawings/_rels/drawing13.xml.rels" ContentType="application/vnd.openxmlformats-package.relationships+xml"/>
  <Override PartName="/xl/drawings/_rels/drawing4.xml.rels" ContentType="application/vnd.openxmlformats-package.relationships+xml"/>
  <Override PartName="/xl/drawings/_rels/drawing14.xml.rels" ContentType="application/vnd.openxmlformats-package.relationships+xml"/>
  <Override PartName="/xl/drawings/_rels/drawing9.xml.rels" ContentType="application/vnd.openxmlformats-package.relationships+xml"/>
  <Override PartName="/xl/drawings/_rels/drawing5.xml.rels" ContentType="application/vnd.openxmlformats-package.relationships+xml"/>
  <Override PartName="/xl/drawings/_rels/drawing10.xml.rels" ContentType="application/vnd.openxmlformats-package.relationships+xml"/>
  <Override PartName="/xl/drawings/_rels/drawing15.xml.rels" ContentType="application/vnd.openxmlformats-package.relationships+xml"/>
  <Override PartName="/xl/drawings/_rels/drawing6.xml.rels" ContentType="application/vnd.openxmlformats-package.relationships+xml"/>
  <Override PartName="/xl/drawings/_rels/drawing11.xml.rels" ContentType="application/vnd.openxmlformats-package.relationships+xml"/>
  <Override PartName="/xl/drawings/_rels/drawing1.xml.rels" ContentType="application/vnd.openxmlformats-package.relationships+xml"/>
  <Override PartName="/xl/drawings/_rels/drawing7.xml.rels" ContentType="application/vnd.openxmlformats-package.relationships+xml"/>
  <Override PartName="/xl/drawings/_rels/drawing12.xml.rels" ContentType="application/vnd.openxmlformats-package.relationships+xml"/>
  <Override PartName="/xl/drawings/_rels/drawing2.xml.rels" ContentType="application/vnd.openxmlformats-package.relationships+xml"/>
  <Override PartName="/xl/drawings/drawing12.xml" ContentType="application/vnd.openxmlformats-officedocument.drawing+xml"/>
  <Override PartName="/xl/drawings/drawing3.xml" ContentType="application/vnd.openxmlformats-officedocument.drawing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chart28.xml" ContentType="application/vnd.openxmlformats-officedocument.drawingml.chart+xml"/>
  <Override PartName="/xl/charts/chart27.xml" ContentType="application/vnd.openxmlformats-officedocument.drawingml.chart+xml"/>
  <Override PartName="/xl/charts/chart26.xml" ContentType="application/vnd.openxmlformats-officedocument.drawingml.chart+xml"/>
  <Override PartName="/xl/charts/chart25.xml" ContentType="application/vnd.openxmlformats-officedocument.drawingml.chart+xml"/>
  <Override PartName="/xl/charts/chart6.xml" ContentType="application/vnd.openxmlformats-officedocument.drawingml.chart+xml"/>
  <Override PartName="/xl/charts/chart11.xml" ContentType="application/vnd.openxmlformats-officedocument.drawingml.chart+xml"/>
  <Override PartName="/xl/charts/chart7.xml" ContentType="application/vnd.openxmlformats-officedocument.drawingml.chart+xml"/>
  <Override PartName="/xl/charts/chart12.xml" ContentType="application/vnd.openxmlformats-officedocument.drawingml.chart+xml"/>
  <Override PartName="/xl/charts/chart8.xml" ContentType="application/vnd.openxmlformats-officedocument.drawingml.chart+xml"/>
  <Override PartName="/xl/charts/chart13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34.xml" ContentType="application/vnd.openxmlformats-officedocument.drawingml.chart+xml"/>
  <Override PartName="/xl/charts/chart2.xml" ContentType="application/vnd.openxmlformats-officedocument.drawingml.chart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20.xml" ContentType="application/vnd.openxmlformats-officedocument.drawingml.chart+xml"/>
  <Override PartName="/xl/charts/chart19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変更履歴" sheetId="1" state="visible" r:id="rId4"/>
    <sheet name="費目マスタ" sheetId="2" state="visible" r:id="rId5"/>
    <sheet name="資産管理シート" sheetId="3" state="visible" r:id="rId6"/>
    <sheet name="収支可視化シート" sheetId="4" state="visible" r:id="rId7"/>
    <sheet name="年間推移" sheetId="5" state="visible" r:id="rId8"/>
    <sheet name="27年1月" sheetId="6" state="visible" r:id="rId9"/>
    <sheet name="27年2月" sheetId="7" state="visible" r:id="rId10"/>
    <sheet name="27年3月" sheetId="8" state="visible" r:id="rId11"/>
    <sheet name="27年4月" sheetId="9" state="visible" r:id="rId12"/>
    <sheet name="27年5月" sheetId="10" state="visible" r:id="rId13"/>
    <sheet name="27年6月" sheetId="11" state="visible" r:id="rId14"/>
    <sheet name="27年7月" sheetId="12" state="visible" r:id="rId15"/>
    <sheet name="27年8月" sheetId="13" state="visible" r:id="rId16"/>
    <sheet name="27年9月" sheetId="14" state="visible" r:id="rId17"/>
    <sheet name="27年10月" sheetId="15" state="visible" r:id="rId18"/>
    <sheet name="27年11月" sheetId="16" state="visible" r:id="rId19"/>
    <sheet name="27年12月" sheetId="17" state="visible" r:id="rId20"/>
  </sheets>
  <definedNames>
    <definedName function="false" hidden="true" localSheetId="14" name="_xlnm._FilterDatabase" vbProcedure="false">27年10月!$U$5:$W$154</definedName>
    <definedName function="false" hidden="true" localSheetId="15" name="_xlnm._FilterDatabase" vbProcedure="false">27年11月!$U$5:$W$154</definedName>
    <definedName function="false" hidden="true" localSheetId="16" name="_xlnm._FilterDatabase" vbProcedure="false">27年12月!$U$5:$W$154</definedName>
    <definedName function="false" hidden="true" localSheetId="5" name="_xlnm._FilterDatabase" vbProcedure="false">27年1月!$U$5:$W$159</definedName>
    <definedName function="false" hidden="true" localSheetId="6" name="_xlnm._FilterDatabase" vbProcedure="false">27年2月!$U$5:$W$164</definedName>
    <definedName function="false" hidden="true" localSheetId="7" name="_xlnm._FilterDatabase" vbProcedure="false">27年3月!$U$5:$W$181</definedName>
    <definedName function="false" hidden="true" localSheetId="8" name="_xlnm._FilterDatabase" vbProcedure="false">27年4月!$U$5:$W$158</definedName>
    <definedName function="false" hidden="true" localSheetId="9" name="_xlnm._FilterDatabase" vbProcedure="false">27年5月!$U$5:$W$158</definedName>
    <definedName function="false" hidden="true" localSheetId="10" name="_xlnm._FilterDatabase" vbProcedure="false">27年6月!$U$5:$W$153</definedName>
    <definedName function="false" hidden="true" localSheetId="11" name="_xlnm._FilterDatabase" vbProcedure="false">27年7月!$U$5:$W$154</definedName>
    <definedName function="false" hidden="true" localSheetId="12" name="_xlnm._FilterDatabase" vbProcedure="false">27年8月!$U$5:$W$154</definedName>
    <definedName function="false" hidden="true" localSheetId="13" name="_xlnm._FilterDatabase" vbProcedure="false">27年9月!$U$5:$W$154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<sst xmlns="http://schemas.openxmlformats.org/spreadsheetml/2006/main" count="3690" uniqueCount="228">
  <si>
    <t xml:space="preserve">変更履歴</t>
  </si>
  <si>
    <t xml:space="preserve">版数</t>
  </si>
  <si>
    <t xml:space="preserve">日付</t>
  </si>
  <si>
    <t xml:space="preserve">変更内容</t>
  </si>
  <si>
    <r>
      <rPr>
        <b val="true"/>
        <sz val="11"/>
        <color theme="1"/>
        <rFont val="Noto Sans CJK SC"/>
        <family val="2"/>
      </rPr>
      <t xml:space="preserve">第</t>
    </r>
    <r>
      <rPr>
        <b val="true"/>
        <sz val="11"/>
        <color theme="1"/>
        <rFont val="Meiryo UI"/>
        <family val="3"/>
        <charset val="128"/>
      </rPr>
      <t xml:space="preserve">0.1</t>
    </r>
    <r>
      <rPr>
        <b val="true"/>
        <sz val="11"/>
        <color theme="1"/>
        <rFont val="Noto Sans CJK SC"/>
        <family val="2"/>
      </rPr>
      <t xml:space="preserve">版</t>
    </r>
  </si>
  <si>
    <t xml:space="preserve">初版作成</t>
  </si>
  <si>
    <r>
      <rPr>
        <b val="true"/>
        <sz val="11"/>
        <color theme="1"/>
        <rFont val="Noto Sans CJK SC"/>
        <family val="2"/>
      </rPr>
      <t xml:space="preserve">第</t>
    </r>
    <r>
      <rPr>
        <b val="true"/>
        <sz val="11"/>
        <color theme="1"/>
        <rFont val="Meiryo UI"/>
        <family val="3"/>
        <charset val="128"/>
      </rPr>
      <t xml:space="preserve">1.0</t>
    </r>
    <r>
      <rPr>
        <b val="true"/>
        <sz val="11"/>
        <color theme="1"/>
        <rFont val="Noto Sans CJK SC"/>
        <family val="2"/>
      </rPr>
      <t xml:space="preserve">版</t>
    </r>
  </si>
  <si>
    <t xml:space="preserve">マクロによる年変更、月ごとのグラフの追加、費目マスタ作成、割り勘計算</t>
  </si>
  <si>
    <r>
      <rPr>
        <b val="true"/>
        <sz val="11"/>
        <color theme="1"/>
        <rFont val="Noto Sans CJK SC"/>
        <family val="2"/>
      </rPr>
      <t xml:space="preserve">第</t>
    </r>
    <r>
      <rPr>
        <b val="true"/>
        <sz val="11"/>
        <color theme="1"/>
        <rFont val="Meiryo UI"/>
        <family val="3"/>
        <charset val="128"/>
      </rPr>
      <t xml:space="preserve">1.1</t>
    </r>
    <r>
      <rPr>
        <b val="true"/>
        <sz val="11"/>
        <color theme="1"/>
        <rFont val="Noto Sans CJK SC"/>
        <family val="2"/>
      </rPr>
      <t xml:space="preserve">版</t>
    </r>
  </si>
  <si>
    <t xml:space="preserve">月ごとの２人のグラフの色を合わせるため、たいように奨学金を追加</t>
  </si>
  <si>
    <r>
      <rPr>
        <b val="true"/>
        <sz val="11"/>
        <color theme="1"/>
        <rFont val="Noto Sans CJK SC"/>
        <family val="2"/>
      </rPr>
      <t xml:space="preserve">第</t>
    </r>
    <r>
      <rPr>
        <b val="true"/>
        <sz val="11"/>
        <color theme="1"/>
        <rFont val="Meiryo UI"/>
        <family val="3"/>
        <charset val="128"/>
      </rPr>
      <t xml:space="preserve">1.2</t>
    </r>
    <r>
      <rPr>
        <b val="true"/>
        <sz val="11"/>
        <color theme="1"/>
        <rFont val="Noto Sans CJK SC"/>
        <family val="2"/>
      </rPr>
      <t xml:space="preserve">版</t>
    </r>
  </si>
  <si>
    <t xml:space="preserve">割り勘の会計にて、半端の額づつ支払った際の対応</t>
  </si>
  <si>
    <r>
      <rPr>
        <b val="true"/>
        <sz val="11"/>
        <color theme="1"/>
        <rFont val="Noto Sans CJK SC"/>
        <family val="2"/>
      </rPr>
      <t xml:space="preserve">第</t>
    </r>
    <r>
      <rPr>
        <b val="true"/>
        <sz val="11"/>
        <color theme="1"/>
        <rFont val="Meiryo UI"/>
        <family val="3"/>
        <charset val="128"/>
      </rPr>
      <t xml:space="preserve">1.3</t>
    </r>
    <r>
      <rPr>
        <b val="true"/>
        <sz val="11"/>
        <color theme="1"/>
        <rFont val="Noto Sans CJK SC"/>
        <family val="2"/>
      </rPr>
      <t xml:space="preserve">版</t>
    </r>
  </si>
  <si>
    <t xml:space="preserve">年間推移・資産管理シートに二人の合計欄を追加、費目マスタ（支出　明細）にふるさと納税</t>
  </si>
  <si>
    <r>
      <rPr>
        <b val="true"/>
        <sz val="11"/>
        <color theme="1"/>
        <rFont val="Noto Sans CJK SC"/>
        <family val="2"/>
      </rPr>
      <t xml:space="preserve">第</t>
    </r>
    <r>
      <rPr>
        <b val="true"/>
        <sz val="11"/>
        <color theme="1"/>
        <rFont val="Meiryo UI"/>
        <family val="3"/>
        <charset val="128"/>
      </rPr>
      <t xml:space="preserve">1.4</t>
    </r>
    <r>
      <rPr>
        <b val="true"/>
        <sz val="11"/>
        <color theme="1"/>
        <rFont val="Noto Sans CJK SC"/>
        <family val="2"/>
      </rPr>
      <t xml:space="preserve">版</t>
    </r>
  </si>
  <si>
    <r>
      <rPr>
        <b val="true"/>
        <sz val="11"/>
        <color theme="1"/>
        <rFont val="Noto Sans CJK SC"/>
        <family val="2"/>
      </rPr>
      <t xml:space="preserve">割合系の数式に</t>
    </r>
    <r>
      <rPr>
        <b val="true"/>
        <sz val="11"/>
        <color theme="1"/>
        <rFont val="Meiryo UI"/>
        <family val="3"/>
        <charset val="128"/>
      </rPr>
      <t xml:space="preserve">IFERROR</t>
    </r>
    <r>
      <rPr>
        <b val="true"/>
        <sz val="11"/>
        <color theme="1"/>
        <rFont val="Noto Sans CJK SC"/>
        <family val="2"/>
      </rPr>
      <t xml:space="preserve">を追加し</t>
    </r>
    <r>
      <rPr>
        <b val="true"/>
        <sz val="11"/>
        <color theme="1"/>
        <rFont val="Meiryo UI"/>
        <family val="3"/>
        <charset val="128"/>
      </rPr>
      <t xml:space="preserve">0</t>
    </r>
    <r>
      <rPr>
        <b val="true"/>
        <sz val="11"/>
        <color theme="1"/>
        <rFont val="Noto Sans CJK SC"/>
        <family val="2"/>
      </rPr>
      <t xml:space="preserve">除算エラー表示を解消、外部参照エラーの修正、ふるさと納税を月次集計・年間推移・収支可視化シートに反映</t>
    </r>
  </si>
  <si>
    <t xml:space="preserve">収入</t>
  </si>
  <si>
    <t xml:space="preserve">先取り貯金・投資</t>
  </si>
  <si>
    <t xml:space="preserve">固定費</t>
  </si>
  <si>
    <t xml:space="preserve">変動費</t>
  </si>
  <si>
    <t xml:space="preserve">支出　明細</t>
  </si>
  <si>
    <t xml:space="preserve">割り勘計算</t>
  </si>
  <si>
    <t xml:space="preserve">集計 支出</t>
  </si>
  <si>
    <t xml:space="preserve">💰給与</t>
  </si>
  <si>
    <t xml:space="preserve">💵貯金</t>
  </si>
  <si>
    <t xml:space="preserve">🔥💡光熱費</t>
  </si>
  <si>
    <t xml:space="preserve">🍙食費</t>
  </si>
  <si>
    <t xml:space="preserve">☀</t>
  </si>
  <si>
    <t xml:space="preserve">🔥💡たいよう光熱費</t>
  </si>
  <si>
    <t xml:space="preserve">💰賞与</t>
  </si>
  <si>
    <t xml:space="preserve">💵NISA</t>
  </si>
  <si>
    <t xml:space="preserve">💧水道代</t>
  </si>
  <si>
    <t xml:space="preserve">🧴日用品</t>
  </si>
  <si>
    <t xml:space="preserve">☆</t>
  </si>
  <si>
    <t xml:space="preserve">💧たいよう水道代</t>
  </si>
  <si>
    <t xml:space="preserve">💰配当金</t>
  </si>
  <si>
    <t xml:space="preserve">💵投資</t>
  </si>
  <si>
    <t xml:space="preserve">📱通信費</t>
  </si>
  <si>
    <t xml:space="preserve">📋雑費</t>
  </si>
  <si>
    <t xml:space="preserve">♠</t>
  </si>
  <si>
    <t xml:space="preserve">📱たいよう通信費</t>
  </si>
  <si>
    <t xml:space="preserve">💰臨時収入</t>
  </si>
  <si>
    <t xml:space="preserve">💵iDeCo</t>
  </si>
  <si>
    <t xml:space="preserve">📺サブスク</t>
  </si>
  <si>
    <t xml:space="preserve">⛺趣味・娯楽</t>
  </si>
  <si>
    <t xml:space="preserve">♡</t>
  </si>
  <si>
    <t xml:space="preserve">📺たいようサブスク</t>
  </si>
  <si>
    <t xml:space="preserve">💰その他</t>
  </si>
  <si>
    <t xml:space="preserve">🎓奨学金</t>
  </si>
  <si>
    <t xml:space="preserve">🍷交際費</t>
  </si>
  <si>
    <t xml:space="preserve">🎓たいよう奨学金</t>
  </si>
  <si>
    <t xml:space="preserve">📜保険</t>
  </si>
  <si>
    <t xml:space="preserve">👔衣服・美容</t>
  </si>
  <si>
    <t xml:space="preserve">📜たいよう保険</t>
  </si>
  <si>
    <t xml:space="preserve">🏠住宅</t>
  </si>
  <si>
    <t xml:space="preserve">🏥健康・医療</t>
  </si>
  <si>
    <t xml:space="preserve">🏠たいよう住宅</t>
  </si>
  <si>
    <t xml:space="preserve">🚃交通費</t>
  </si>
  <si>
    <t xml:space="preserve">🔥💡みらの光熱費</t>
  </si>
  <si>
    <t xml:space="preserve">💧みらの水道代</t>
  </si>
  <si>
    <t xml:space="preserve">📱みらの通信費</t>
  </si>
  <si>
    <t xml:space="preserve">📺みらのサブスク</t>
  </si>
  <si>
    <t xml:space="preserve">🎓みらの奨学金</t>
  </si>
  <si>
    <t xml:space="preserve">📜みらの保険</t>
  </si>
  <si>
    <t xml:space="preserve">🌾ふるさと納税</t>
  </si>
  <si>
    <t xml:space="preserve">🏠みらの住宅</t>
  </si>
  <si>
    <t xml:space="preserve">資産管理シート</t>
  </si>
  <si>
    <t xml:space="preserve">※月末に入力する
※網掛け部分は自動で反映されます</t>
  </si>
  <si>
    <t xml:space="preserve">名称</t>
  </si>
  <si>
    <t xml:space="preserve">詳細</t>
  </si>
  <si>
    <t xml:space="preserve">名義</t>
  </si>
  <si>
    <t xml:space="preserve">用途</t>
  </si>
  <si>
    <t xml:space="preserve">積立額</t>
  </si>
  <si>
    <t xml:space="preserve">Memo</t>
  </si>
  <si>
    <t xml:space="preserve">資産</t>
  </si>
  <si>
    <t xml:space="preserve">現金</t>
  </si>
  <si>
    <t xml:space="preserve">三井住友銀行</t>
  </si>
  <si>
    <t xml:space="preserve">たいよう</t>
  </si>
  <si>
    <t xml:space="preserve">現金・預貯金</t>
  </si>
  <si>
    <t xml:space="preserve">預貯金</t>
  </si>
  <si>
    <t xml:space="preserve">ゆうちょ銀行</t>
  </si>
  <si>
    <t xml:space="preserve">証券・株式</t>
  </si>
  <si>
    <t xml:space="preserve">みずほ銀行</t>
  </si>
  <si>
    <t xml:space="preserve">保険</t>
  </si>
  <si>
    <t xml:space="preserve">資産合計</t>
  </si>
  <si>
    <r>
      <rPr>
        <b val="true"/>
        <sz val="11"/>
        <color theme="4" tint="-0.25"/>
        <rFont val="Noto Sans CJK SC"/>
        <family val="2"/>
      </rPr>
      <t xml:space="preserve">交通系</t>
    </r>
    <r>
      <rPr>
        <b val="true"/>
        <sz val="11"/>
        <color theme="4" tint="-0.25"/>
        <rFont val="Meiryo UI"/>
        <family val="3"/>
        <charset val="128"/>
      </rPr>
      <t xml:space="preserve">IC</t>
    </r>
  </si>
  <si>
    <t xml:space="preserve">バーコード決済</t>
  </si>
  <si>
    <r>
      <rPr>
        <b val="true"/>
        <sz val="11"/>
        <color theme="4" tint="-0.25"/>
        <rFont val="Noto Sans CJK SC"/>
        <family val="2"/>
      </rPr>
      <t xml:space="preserve">三菱</t>
    </r>
    <r>
      <rPr>
        <b val="true"/>
        <sz val="11"/>
        <color theme="4" tint="-0.25"/>
        <rFont val="Meiryo UI"/>
        <family val="3"/>
        <charset val="128"/>
      </rPr>
      <t xml:space="preserve">UFJ</t>
    </r>
    <r>
      <rPr>
        <b val="true"/>
        <sz val="11"/>
        <color theme="4" tint="-0.25"/>
        <rFont val="Noto Sans CJK SC"/>
        <family val="2"/>
      </rPr>
      <t xml:space="preserve">銀行</t>
    </r>
  </si>
  <si>
    <t xml:space="preserve">みらの</t>
  </si>
  <si>
    <t xml:space="preserve">たいよう集計</t>
  </si>
  <si>
    <t xml:space="preserve">みらの集計</t>
  </si>
  <si>
    <r>
      <rPr>
        <b val="true"/>
        <sz val="11"/>
        <color theme="4" tint="-0.25"/>
        <rFont val="Meiryo UI"/>
        <family val="3"/>
        <charset val="128"/>
      </rPr>
      <t xml:space="preserve">2</t>
    </r>
    <r>
      <rPr>
        <b val="true"/>
        <sz val="11"/>
        <color theme="4" tint="-0.25"/>
        <rFont val="Noto Sans CJK SC"/>
        <family val="2"/>
      </rPr>
      <t xml:space="preserve">人の合計</t>
    </r>
  </si>
  <si>
    <t xml:space="preserve">証券</t>
  </si>
  <si>
    <r>
      <rPr>
        <b val="true"/>
        <sz val="11"/>
        <color theme="4" tint="-0.25"/>
        <rFont val="Meiryo UI"/>
        <family val="3"/>
        <charset val="128"/>
      </rPr>
      <t xml:space="preserve">NISA</t>
    </r>
    <r>
      <rPr>
        <b val="true"/>
        <sz val="11"/>
        <color theme="4" tint="-0.25"/>
        <rFont val="Noto Sans CJK SC"/>
        <family val="2"/>
      </rPr>
      <t xml:space="preserve">口座</t>
    </r>
  </si>
  <si>
    <t xml:space="preserve">株式</t>
  </si>
  <si>
    <r>
      <rPr>
        <b val="true"/>
        <sz val="11"/>
        <color theme="0"/>
        <rFont val="Meiryo UI"/>
        <family val="3"/>
        <charset val="128"/>
      </rPr>
      <t xml:space="preserve">2</t>
    </r>
    <r>
      <rPr>
        <b val="true"/>
        <sz val="11"/>
        <color theme="0"/>
        <rFont val="Noto Sans CJK SC"/>
        <family val="2"/>
      </rPr>
      <t xml:space="preserve">人の合計</t>
    </r>
  </si>
  <si>
    <t xml:space="preserve">負債</t>
  </si>
  <si>
    <t xml:space="preserve">純資産</t>
  </si>
  <si>
    <r>
      <rPr>
        <b val="true"/>
        <sz val="11"/>
        <color theme="4" tint="-0.25"/>
        <rFont val="Meiryo UI"/>
        <family val="3"/>
        <charset val="128"/>
      </rPr>
      <t xml:space="preserve">[</t>
    </r>
    <r>
      <rPr>
        <b val="true"/>
        <sz val="11"/>
        <color theme="4" tint="-0.25"/>
        <rFont val="Noto Sans CJK SC"/>
        <family val="2"/>
      </rPr>
      <t xml:space="preserve">資産</t>
    </r>
    <r>
      <rPr>
        <b val="true"/>
        <sz val="11"/>
        <color theme="4" tint="-0.25"/>
        <rFont val="Meiryo UI"/>
        <family val="3"/>
        <charset val="128"/>
      </rPr>
      <t xml:space="preserve">]</t>
    </r>
    <r>
      <rPr>
        <b val="true"/>
        <sz val="11"/>
        <color theme="4" tint="-0.25"/>
        <rFont val="Noto Sans CJK SC"/>
        <family val="2"/>
      </rPr>
      <t xml:space="preserve">ー</t>
    </r>
    <r>
      <rPr>
        <b val="true"/>
        <sz val="11"/>
        <color theme="4" tint="-0.25"/>
        <rFont val="Meiryo UI"/>
        <family val="3"/>
        <charset val="128"/>
      </rPr>
      <t xml:space="preserve">[</t>
    </r>
    <r>
      <rPr>
        <b val="true"/>
        <sz val="11"/>
        <color theme="4" tint="-0.25"/>
        <rFont val="Noto Sans CJK SC"/>
        <family val="2"/>
      </rPr>
      <t xml:space="preserve">負債</t>
    </r>
    <r>
      <rPr>
        <b val="true"/>
        <sz val="11"/>
        <color theme="4" tint="-0.25"/>
        <rFont val="Meiryo UI"/>
        <family val="3"/>
        <charset val="128"/>
      </rPr>
      <t xml:space="preserve">]</t>
    </r>
  </si>
  <si>
    <t xml:space="preserve">資産　構成比</t>
  </si>
  <si>
    <r>
      <rPr>
        <b val="true"/>
        <sz val="11"/>
        <color theme="4" tint="-0.25"/>
        <rFont val="Meiryo UI"/>
        <family val="3"/>
        <charset val="128"/>
      </rPr>
      <t xml:space="preserve">2</t>
    </r>
    <r>
      <rPr>
        <b val="true"/>
        <sz val="11"/>
        <color theme="4" tint="-0.25"/>
        <rFont val="Noto Sans CJK SC"/>
        <family val="2"/>
      </rPr>
      <t xml:space="preserve">人</t>
    </r>
  </si>
  <si>
    <t xml:space="preserve">収支可視化シート</t>
  </si>
  <si>
    <t xml:space="preserve">※月の家計簿を入力すると自動で反映されます</t>
  </si>
  <si>
    <t xml:space="preserve">月平均　　　　※毎月発生するもの</t>
  </si>
  <si>
    <t xml:space="preserve">月平均の収支（たいよう）</t>
  </si>
  <si>
    <t xml:space="preserve">金額</t>
  </si>
  <si>
    <t xml:space="preserve">月平均の収支（みらの）</t>
  </si>
  <si>
    <t xml:space="preserve">費目</t>
  </si>
  <si>
    <r>
      <rPr>
        <b val="true"/>
        <sz val="11"/>
        <color theme="4" tint="-0.25"/>
        <rFont val="Noto Sans CJK SC"/>
        <family val="2"/>
      </rPr>
      <t xml:space="preserve">収入（</t>
    </r>
    <r>
      <rPr>
        <b val="true"/>
        <sz val="11"/>
        <color theme="4" tint="-0.25"/>
        <rFont val="Meiryo UI"/>
        <family val="3"/>
        <charset val="128"/>
      </rPr>
      <t xml:space="preserve">a</t>
    </r>
    <r>
      <rPr>
        <b val="true"/>
        <sz val="11"/>
        <color theme="4" tint="-0.25"/>
        <rFont val="Noto Sans CJK SC"/>
        <family val="2"/>
      </rPr>
      <t xml:space="preserve">）</t>
    </r>
  </si>
  <si>
    <t xml:space="preserve">💰たいよう給与</t>
  </si>
  <si>
    <t xml:space="preserve">💵たいよう貯金</t>
  </si>
  <si>
    <r>
      <rPr>
        <b val="true"/>
        <sz val="11"/>
        <color theme="4" tint="-0.25"/>
        <rFont val="Noto Sans CJK SC"/>
        <family val="2"/>
      </rPr>
      <t xml:space="preserve">先取り貯金・投資（</t>
    </r>
    <r>
      <rPr>
        <b val="true"/>
        <sz val="11"/>
        <color theme="4" tint="-0.25"/>
        <rFont val="Meiryo UI"/>
        <family val="3"/>
        <charset val="128"/>
      </rPr>
      <t xml:space="preserve">b</t>
    </r>
    <r>
      <rPr>
        <b val="true"/>
        <sz val="11"/>
        <color theme="4" tint="-0.25"/>
        <rFont val="Noto Sans CJK SC"/>
        <family val="2"/>
      </rPr>
      <t xml:space="preserve">）</t>
    </r>
  </si>
  <si>
    <t xml:space="preserve">💰たいよう配当金</t>
  </si>
  <si>
    <r>
      <rPr>
        <b val="true"/>
        <sz val="11"/>
        <color theme="4" tint="-0.25"/>
        <rFont val="Noto Sans CJK SC"/>
        <family val="2"/>
      </rPr>
      <t xml:space="preserve">💵たいよう</t>
    </r>
    <r>
      <rPr>
        <b val="true"/>
        <sz val="11"/>
        <color theme="4" tint="-0.25"/>
        <rFont val="Meiryo UI"/>
        <family val="3"/>
        <charset val="128"/>
      </rPr>
      <t xml:space="preserve">NISA</t>
    </r>
  </si>
  <si>
    <r>
      <rPr>
        <b val="true"/>
        <sz val="11"/>
        <color theme="4" tint="-0.25"/>
        <rFont val="Noto Sans CJK SC"/>
        <family val="2"/>
      </rPr>
      <t xml:space="preserve">支出（</t>
    </r>
    <r>
      <rPr>
        <b val="true"/>
        <sz val="11"/>
        <color theme="4" tint="-0.25"/>
        <rFont val="Meiryo UI"/>
        <family val="3"/>
        <charset val="128"/>
      </rPr>
      <t xml:space="preserve">c</t>
    </r>
    <r>
      <rPr>
        <b val="true"/>
        <sz val="11"/>
        <color theme="4" tint="-0.25"/>
        <rFont val="Noto Sans CJK SC"/>
        <family val="2"/>
      </rPr>
      <t xml:space="preserve">）</t>
    </r>
  </si>
  <si>
    <t xml:space="preserve">🍙たいよう食費</t>
  </si>
  <si>
    <t xml:space="preserve">🍙みらの食費</t>
  </si>
  <si>
    <t xml:space="preserve">💰たいよう臨時収入</t>
  </si>
  <si>
    <t xml:space="preserve">💵たいよう投資</t>
  </si>
  <si>
    <r>
      <rPr>
        <b val="true"/>
        <sz val="11"/>
        <color theme="4" tint="-0.25"/>
        <rFont val="Noto Sans CJK SC"/>
        <family val="2"/>
      </rPr>
      <t xml:space="preserve">余り貯金（</t>
    </r>
    <r>
      <rPr>
        <b val="true"/>
        <sz val="11"/>
        <color theme="4" tint="-0.25"/>
        <rFont val="Meiryo UI"/>
        <family val="3"/>
        <charset val="128"/>
      </rPr>
      <t xml:space="preserve">d</t>
    </r>
    <r>
      <rPr>
        <b val="true"/>
        <sz val="11"/>
        <color theme="4" tint="-0.25"/>
        <rFont val="Noto Sans CJK SC"/>
        <family val="2"/>
      </rPr>
      <t xml:space="preserve">）※</t>
    </r>
    <r>
      <rPr>
        <b val="true"/>
        <sz val="11"/>
        <color theme="4" tint="-0.25"/>
        <rFont val="Meiryo UI"/>
        <family val="3"/>
        <charset val="128"/>
      </rPr>
      <t xml:space="preserve">a-b-c</t>
    </r>
  </si>
  <si>
    <t xml:space="preserve">🧴たいよう日用品</t>
  </si>
  <si>
    <t xml:space="preserve">🧴みらの日用品</t>
  </si>
  <si>
    <t xml:space="preserve">💰たいようその他</t>
  </si>
  <si>
    <r>
      <rPr>
        <b val="true"/>
        <sz val="11"/>
        <color theme="4" tint="-0.25"/>
        <rFont val="Noto Sans CJK SC"/>
        <family val="2"/>
      </rPr>
      <t xml:space="preserve">💵たいよう</t>
    </r>
    <r>
      <rPr>
        <b val="true"/>
        <sz val="11"/>
        <color theme="4" tint="-0.25"/>
        <rFont val="Meiryo UI"/>
        <family val="3"/>
        <charset val="128"/>
      </rPr>
      <t xml:space="preserve">iDeCo</t>
    </r>
  </si>
  <si>
    <r>
      <rPr>
        <b val="true"/>
        <sz val="11"/>
        <color theme="4" tint="-0.25"/>
        <rFont val="Noto Sans CJK SC"/>
        <family val="2"/>
      </rPr>
      <t xml:space="preserve">貯蓄合計（</t>
    </r>
    <r>
      <rPr>
        <b val="true"/>
        <sz val="11"/>
        <color theme="4" tint="-0.25"/>
        <rFont val="Meiryo UI"/>
        <family val="3"/>
        <charset val="128"/>
      </rPr>
      <t xml:space="preserve">e</t>
    </r>
    <r>
      <rPr>
        <b val="true"/>
        <sz val="11"/>
        <color theme="4" tint="-0.25"/>
        <rFont val="Noto Sans CJK SC"/>
        <family val="2"/>
      </rPr>
      <t xml:space="preserve">）※</t>
    </r>
    <r>
      <rPr>
        <b val="true"/>
        <sz val="11"/>
        <color theme="4" tint="-0.25"/>
        <rFont val="Meiryo UI"/>
        <family val="3"/>
        <charset val="128"/>
      </rPr>
      <t xml:space="preserve">b+d</t>
    </r>
  </si>
  <si>
    <t xml:space="preserve">📋たいよう雑費</t>
  </si>
  <si>
    <t xml:space="preserve">📋みらの雑費</t>
  </si>
  <si>
    <t xml:space="preserve">💰みらの給与</t>
  </si>
  <si>
    <t xml:space="preserve">💵みらの貯金</t>
  </si>
  <si>
    <t xml:space="preserve">⛺たいよう趣味・娯楽</t>
  </si>
  <si>
    <t xml:space="preserve">⛺みらの趣味・娯楽</t>
  </si>
  <si>
    <t xml:space="preserve">💰みらの配当金</t>
  </si>
  <si>
    <r>
      <rPr>
        <b val="true"/>
        <sz val="11"/>
        <color theme="4" tint="-0.25"/>
        <rFont val="Noto Sans CJK SC"/>
        <family val="2"/>
      </rPr>
      <t xml:space="preserve">💵みらの</t>
    </r>
    <r>
      <rPr>
        <b val="true"/>
        <sz val="11"/>
        <color theme="4" tint="-0.25"/>
        <rFont val="Meiryo UI"/>
        <family val="3"/>
        <charset val="128"/>
      </rPr>
      <t xml:space="preserve">NISA</t>
    </r>
  </si>
  <si>
    <r>
      <rPr>
        <b val="true"/>
        <sz val="11"/>
        <color theme="0"/>
        <rFont val="Noto Sans CJK SC"/>
        <family val="2"/>
      </rPr>
      <t xml:space="preserve">支出率 </t>
    </r>
    <r>
      <rPr>
        <b val="true"/>
        <sz val="11"/>
        <color theme="0"/>
        <rFont val="Meiryo UI"/>
        <family val="3"/>
        <charset val="128"/>
      </rPr>
      <t xml:space="preserve">(c/a)×100</t>
    </r>
  </si>
  <si>
    <r>
      <rPr>
        <b val="true"/>
        <sz val="11"/>
        <color theme="0"/>
        <rFont val="Noto Sans CJK SC"/>
        <family val="2"/>
      </rPr>
      <t xml:space="preserve">貯蓄率 </t>
    </r>
    <r>
      <rPr>
        <b val="true"/>
        <sz val="11"/>
        <color theme="0"/>
        <rFont val="Meiryo UI"/>
        <family val="3"/>
        <charset val="128"/>
      </rPr>
      <t xml:space="preserve">(e/a)×100</t>
    </r>
  </si>
  <si>
    <t xml:space="preserve">🍷たいよう交際費</t>
  </si>
  <si>
    <t xml:space="preserve">🍷みらの交際費</t>
  </si>
  <si>
    <t xml:space="preserve">💰みらの臨時収入</t>
  </si>
  <si>
    <t xml:space="preserve">💵みらの投資</t>
  </si>
  <si>
    <t xml:space="preserve">👔たいよう衣服・美容</t>
  </si>
  <si>
    <t xml:space="preserve">👔みらの衣服・美容</t>
  </si>
  <si>
    <t xml:space="preserve">💰みらのその他</t>
  </si>
  <si>
    <r>
      <rPr>
        <b val="true"/>
        <sz val="11"/>
        <color theme="4" tint="-0.25"/>
        <rFont val="Noto Sans CJK SC"/>
        <family val="2"/>
      </rPr>
      <t xml:space="preserve">💵みらの</t>
    </r>
    <r>
      <rPr>
        <b val="true"/>
        <sz val="11"/>
        <color theme="4" tint="-0.25"/>
        <rFont val="Meiryo UI"/>
        <family val="3"/>
        <charset val="128"/>
      </rPr>
      <t xml:space="preserve">iDeCo</t>
    </r>
  </si>
  <si>
    <t xml:space="preserve">🏥たいよう健康・医療</t>
  </si>
  <si>
    <t xml:space="preserve">🏥みらの健康・医療</t>
  </si>
  <si>
    <t xml:space="preserve">たいよう合計</t>
  </si>
  <si>
    <r>
      <rPr>
        <b val="true"/>
        <sz val="9"/>
        <color theme="4" tint="-0.25"/>
        <rFont val="Noto Sans CJK SC"/>
        <family val="2"/>
      </rPr>
      <t xml:space="preserve">※目標：</t>
    </r>
    <r>
      <rPr>
        <b val="true"/>
        <sz val="9"/>
        <color theme="4" tint="-0.25"/>
        <rFont val="Meiryo UI"/>
        <family val="3"/>
        <charset val="128"/>
      </rPr>
      <t xml:space="preserve">60</t>
    </r>
    <r>
      <rPr>
        <b val="true"/>
        <sz val="9"/>
        <color theme="4" tint="-0.25"/>
        <rFont val="Noto Sans CJK SC"/>
        <family val="2"/>
      </rPr>
      <t xml:space="preserve">％以下</t>
    </r>
  </si>
  <si>
    <r>
      <rPr>
        <b val="true"/>
        <sz val="9"/>
        <color theme="4" tint="-0.25"/>
        <rFont val="Noto Sans CJK SC"/>
        <family val="2"/>
      </rPr>
      <t xml:space="preserve">※目標：</t>
    </r>
    <r>
      <rPr>
        <b val="true"/>
        <sz val="9"/>
        <color theme="4" tint="-0.25"/>
        <rFont val="Meiryo UI"/>
        <family val="3"/>
        <charset val="128"/>
      </rPr>
      <t xml:space="preserve">40</t>
    </r>
    <r>
      <rPr>
        <b val="true"/>
        <sz val="9"/>
        <color theme="4" tint="-0.25"/>
        <rFont val="Noto Sans CJK SC"/>
        <family val="2"/>
      </rPr>
      <t xml:space="preserve">％以上</t>
    </r>
  </si>
  <si>
    <t xml:space="preserve">🚃たいよう交通費</t>
  </si>
  <si>
    <t xml:space="preserve">🚃みらの交通費</t>
  </si>
  <si>
    <t xml:space="preserve">みらの合計</t>
  </si>
  <si>
    <t xml:space="preserve">年間の収支（たいよう）</t>
  </si>
  <si>
    <t xml:space="preserve">年間の収支（みらの）</t>
  </si>
  <si>
    <t xml:space="preserve">支出</t>
  </si>
  <si>
    <t xml:space="preserve">固定</t>
  </si>
  <si>
    <t xml:space="preserve">年計　　　　※臨時発生するもの</t>
  </si>
  <si>
    <t xml:space="preserve">💰たいよう賞与</t>
  </si>
  <si>
    <t xml:space="preserve">💰みらの賞与</t>
  </si>
  <si>
    <t xml:space="preserve">年間ふるさと納税実績</t>
  </si>
  <si>
    <r>
      <rPr>
        <b val="true"/>
        <sz val="11"/>
        <color theme="4" tint="-0.25"/>
        <rFont val="Meiryo UI"/>
        <family val="3"/>
        <charset val="128"/>
      </rPr>
      <t xml:space="preserve">2</t>
    </r>
    <r>
      <rPr>
        <b val="true"/>
        <sz val="11"/>
        <color theme="4" tint="-0.25"/>
        <rFont val="Noto Sans CJK SC"/>
        <family val="2"/>
      </rPr>
      <t xml:space="preserve">人合計</t>
    </r>
  </si>
  <si>
    <t xml:space="preserve">年間推移シート</t>
  </si>
  <si>
    <t xml:space="preserve">※月の家計簿を入力すると網掛け部分は自動で反映されます</t>
  </si>
  <si>
    <t xml:space="preserve">年</t>
  </si>
  <si>
    <r>
      <rPr>
        <b val="true"/>
        <sz val="11"/>
        <color theme="0"/>
        <rFont val="Meiryo UI"/>
        <family val="3"/>
        <charset val="128"/>
      </rPr>
      <t xml:space="preserve">1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</si>
  <si>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2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</si>
  <si>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3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</si>
  <si>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4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</si>
  <si>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5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</si>
  <si>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6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</si>
  <si>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7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</si>
  <si>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8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</si>
  <si>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9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</si>
  <si>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10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</si>
  <si>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11</t>
    </r>
    <r>
      <rPr>
        <b val="true"/>
        <sz val="11"/>
        <color theme="0"/>
        <rFont val="Noto Sans CJK SC"/>
        <family val="2"/>
      </rPr>
      <t xml:space="preserve">月</t>
    </r>
  </si>
  <si>
    <r>
      <rPr>
        <b val="true"/>
        <sz val="11"/>
        <color theme="0"/>
        <rFont val="Meiryo UI"/>
        <family val="3"/>
        <charset val="128"/>
      </rPr>
      <t xml:space="preserve">12</t>
    </r>
    <r>
      <rPr>
        <b val="true"/>
        <sz val="11"/>
        <color theme="0"/>
        <rFont val="Noto Sans CJK SC"/>
        <family val="2"/>
      </rPr>
      <t xml:space="preserve">月</t>
    </r>
  </si>
  <si>
    <t xml:space="preserve">総合計</t>
  </si>
  <si>
    <t xml:space="preserve">たいよう収入合計</t>
  </si>
  <si>
    <t xml:space="preserve">みらの収入合計</t>
  </si>
  <si>
    <t xml:space="preserve">たいよう固定費合計</t>
  </si>
  <si>
    <t xml:space="preserve">みらの固定費合計</t>
  </si>
  <si>
    <t xml:space="preserve">たいよう変動費合計</t>
  </si>
  <si>
    <t xml:space="preserve">みらの変動費合計</t>
  </si>
  <si>
    <t xml:space="preserve">たいよう支出合計（特別費除く）</t>
  </si>
  <si>
    <t xml:space="preserve">みらの支出合計（特別費除く）</t>
  </si>
  <si>
    <t xml:space="preserve">たいよう支出率</t>
  </si>
  <si>
    <r>
      <rPr>
        <b val="true"/>
        <sz val="11"/>
        <color theme="0"/>
        <rFont val="Noto Sans CJK SC"/>
        <family val="2"/>
      </rPr>
      <t xml:space="preserve">目標：</t>
    </r>
    <r>
      <rPr>
        <b val="true"/>
        <sz val="11"/>
        <color theme="0"/>
        <rFont val="Meiryo UI"/>
        <family val="3"/>
        <charset val="128"/>
      </rPr>
      <t xml:space="preserve">80%</t>
    </r>
    <r>
      <rPr>
        <b val="true"/>
        <sz val="11"/>
        <color theme="0"/>
        <rFont val="Noto Sans CJK SC"/>
        <family val="2"/>
      </rPr>
      <t xml:space="preserve">以下</t>
    </r>
  </si>
  <si>
    <t xml:space="preserve">みらの支出率</t>
  </si>
  <si>
    <t xml:space="preserve">たいよう先取り貯金・投資合計</t>
  </si>
  <si>
    <t xml:space="preserve">みらの先取り貯金・投資合計</t>
  </si>
  <si>
    <t xml:space="preserve">収支</t>
  </si>
  <si>
    <r>
      <rPr>
        <b val="true"/>
        <sz val="11"/>
        <color theme="4" tint="-0.25"/>
        <rFont val="Noto Sans CJK SC"/>
        <family val="2"/>
      </rPr>
      <t xml:space="preserve">たいよう余り貯金　（収入</t>
    </r>
    <r>
      <rPr>
        <b val="true"/>
        <sz val="11"/>
        <color theme="4" tint="-0.25"/>
        <rFont val="Meiryo UI"/>
        <family val="3"/>
        <charset val="128"/>
      </rPr>
      <t xml:space="preserve">-</t>
    </r>
    <r>
      <rPr>
        <b val="true"/>
        <sz val="11"/>
        <color theme="4" tint="-0.25"/>
        <rFont val="Noto Sans CJK SC"/>
        <family val="2"/>
      </rPr>
      <t xml:space="preserve">先取り</t>
    </r>
    <r>
      <rPr>
        <b val="true"/>
        <sz val="11"/>
        <color theme="4" tint="-0.25"/>
        <rFont val="Meiryo UI"/>
        <family val="3"/>
        <charset val="128"/>
      </rPr>
      <t xml:space="preserve">-</t>
    </r>
    <r>
      <rPr>
        <b val="true"/>
        <sz val="11"/>
        <color theme="4" tint="-0.25"/>
        <rFont val="Noto Sans CJK SC"/>
        <family val="2"/>
      </rPr>
      <t xml:space="preserve">支出）</t>
    </r>
  </si>
  <si>
    <r>
      <rPr>
        <b val="true"/>
        <sz val="11"/>
        <color theme="4" tint="-0.25"/>
        <rFont val="Noto Sans CJK SC"/>
        <family val="2"/>
      </rPr>
      <t xml:space="preserve">たいよう貯蓄合計　（先取り</t>
    </r>
    <r>
      <rPr>
        <b val="true"/>
        <sz val="11"/>
        <color theme="4" tint="-0.25"/>
        <rFont val="Meiryo UI"/>
        <family val="3"/>
        <charset val="128"/>
      </rPr>
      <t xml:space="preserve">+</t>
    </r>
    <r>
      <rPr>
        <b val="true"/>
        <sz val="11"/>
        <color theme="4" tint="-0.25"/>
        <rFont val="Noto Sans CJK SC"/>
        <family val="2"/>
      </rPr>
      <t xml:space="preserve">余り貯金）</t>
    </r>
  </si>
  <si>
    <r>
      <rPr>
        <b val="true"/>
        <sz val="11"/>
        <color theme="4" tint="-0.25"/>
        <rFont val="Noto Sans CJK SC"/>
        <family val="2"/>
      </rPr>
      <t xml:space="preserve">たいよう貯蓄率　（貯蓄合計</t>
    </r>
    <r>
      <rPr>
        <b val="true"/>
        <sz val="11"/>
        <color theme="4" tint="-0.25"/>
        <rFont val="Meiryo UI"/>
        <family val="3"/>
        <charset val="128"/>
      </rPr>
      <t xml:space="preserve">/</t>
    </r>
    <r>
      <rPr>
        <b val="true"/>
        <sz val="11"/>
        <color theme="4" tint="-0.25"/>
        <rFont val="Noto Sans CJK SC"/>
        <family val="2"/>
      </rPr>
      <t xml:space="preserve">収入）</t>
    </r>
  </si>
  <si>
    <r>
      <rPr>
        <b val="true"/>
        <sz val="11"/>
        <color rgb="FFFF0000"/>
        <rFont val="Noto Sans CJK SC"/>
        <family val="2"/>
      </rPr>
      <t xml:space="preserve">目標：</t>
    </r>
    <r>
      <rPr>
        <b val="true"/>
        <sz val="11"/>
        <color rgb="FFFF0000"/>
        <rFont val="Meiryo UI"/>
        <family val="3"/>
        <charset val="128"/>
      </rPr>
      <t xml:space="preserve">40%</t>
    </r>
    <r>
      <rPr>
        <b val="true"/>
        <sz val="11"/>
        <color rgb="FFFF0000"/>
        <rFont val="Noto Sans CJK SC"/>
        <family val="2"/>
      </rPr>
      <t xml:space="preserve">以上</t>
    </r>
  </si>
  <si>
    <r>
      <rPr>
        <b val="true"/>
        <sz val="11"/>
        <color theme="4" tint="-0.25"/>
        <rFont val="Noto Sans CJK SC"/>
        <family val="2"/>
      </rPr>
      <t xml:space="preserve">みらの余り貯金　（収入</t>
    </r>
    <r>
      <rPr>
        <b val="true"/>
        <sz val="11"/>
        <color theme="4" tint="-0.25"/>
        <rFont val="Meiryo UI"/>
        <family val="3"/>
        <charset val="128"/>
      </rPr>
      <t xml:space="preserve">-</t>
    </r>
    <r>
      <rPr>
        <b val="true"/>
        <sz val="11"/>
        <color theme="4" tint="-0.25"/>
        <rFont val="Noto Sans CJK SC"/>
        <family val="2"/>
      </rPr>
      <t xml:space="preserve">先取り</t>
    </r>
    <r>
      <rPr>
        <b val="true"/>
        <sz val="11"/>
        <color theme="4" tint="-0.25"/>
        <rFont val="Meiryo UI"/>
        <family val="3"/>
        <charset val="128"/>
      </rPr>
      <t xml:space="preserve">-</t>
    </r>
    <r>
      <rPr>
        <b val="true"/>
        <sz val="11"/>
        <color theme="4" tint="-0.25"/>
        <rFont val="Noto Sans CJK SC"/>
        <family val="2"/>
      </rPr>
      <t xml:space="preserve">支出）</t>
    </r>
  </si>
  <si>
    <r>
      <rPr>
        <b val="true"/>
        <sz val="11"/>
        <color theme="4" tint="-0.25"/>
        <rFont val="Noto Sans CJK SC"/>
        <family val="2"/>
      </rPr>
      <t xml:space="preserve">みらの貯蓄合計　（先取り</t>
    </r>
    <r>
      <rPr>
        <b val="true"/>
        <sz val="11"/>
        <color theme="4" tint="-0.25"/>
        <rFont val="Meiryo UI"/>
        <family val="3"/>
        <charset val="128"/>
      </rPr>
      <t xml:space="preserve">+</t>
    </r>
    <r>
      <rPr>
        <b val="true"/>
        <sz val="11"/>
        <color theme="4" tint="-0.25"/>
        <rFont val="Noto Sans CJK SC"/>
        <family val="2"/>
      </rPr>
      <t xml:space="preserve">余り貯金）</t>
    </r>
  </si>
  <si>
    <r>
      <rPr>
        <b val="true"/>
        <sz val="11"/>
        <color theme="4" tint="-0.25"/>
        <rFont val="Noto Sans CJK SC"/>
        <family val="2"/>
      </rPr>
      <t xml:space="preserve">みらの貯蓄率　（貯蓄合計</t>
    </r>
    <r>
      <rPr>
        <b val="true"/>
        <sz val="11"/>
        <color theme="4" tint="-0.25"/>
        <rFont val="Meiryo UI"/>
        <family val="3"/>
        <charset val="128"/>
      </rPr>
      <t xml:space="preserve">/</t>
    </r>
    <r>
      <rPr>
        <b val="true"/>
        <sz val="11"/>
        <color theme="4" tint="-0.25"/>
        <rFont val="Noto Sans CJK SC"/>
        <family val="2"/>
      </rPr>
      <t xml:space="preserve">収入）</t>
    </r>
  </si>
  <si>
    <r>
      <rPr>
        <b val="true"/>
        <sz val="11"/>
        <color theme="4" tint="-0.25"/>
        <rFont val="Meiryo UI"/>
        <family val="3"/>
        <charset val="128"/>
      </rPr>
      <t xml:space="preserve">2</t>
    </r>
    <r>
      <rPr>
        <b val="true"/>
        <sz val="11"/>
        <color theme="4" tint="-0.25"/>
        <rFont val="Noto Sans CJK SC"/>
        <family val="2"/>
      </rPr>
      <t xml:space="preserve">人の余り貯金　（収入</t>
    </r>
    <r>
      <rPr>
        <b val="true"/>
        <sz val="11"/>
        <color theme="4" tint="-0.25"/>
        <rFont val="Meiryo UI"/>
        <family val="3"/>
        <charset val="128"/>
      </rPr>
      <t xml:space="preserve">-</t>
    </r>
    <r>
      <rPr>
        <b val="true"/>
        <sz val="11"/>
        <color theme="4" tint="-0.25"/>
        <rFont val="Noto Sans CJK SC"/>
        <family val="2"/>
      </rPr>
      <t xml:space="preserve">先取り</t>
    </r>
    <r>
      <rPr>
        <b val="true"/>
        <sz val="11"/>
        <color theme="4" tint="-0.25"/>
        <rFont val="Meiryo UI"/>
        <family val="3"/>
        <charset val="128"/>
      </rPr>
      <t xml:space="preserve">-</t>
    </r>
    <r>
      <rPr>
        <b val="true"/>
        <sz val="11"/>
        <color theme="4" tint="-0.25"/>
        <rFont val="Noto Sans CJK SC"/>
        <family val="2"/>
      </rPr>
      <t xml:space="preserve">支出）</t>
    </r>
  </si>
  <si>
    <r>
      <rPr>
        <b val="true"/>
        <sz val="11"/>
        <color theme="4" tint="-0.25"/>
        <rFont val="Meiryo UI"/>
        <family val="3"/>
        <charset val="128"/>
      </rPr>
      <t xml:space="preserve">2</t>
    </r>
    <r>
      <rPr>
        <b val="true"/>
        <sz val="11"/>
        <color theme="4" tint="-0.25"/>
        <rFont val="Noto Sans CJK SC"/>
        <family val="2"/>
      </rPr>
      <t xml:space="preserve">人の貯蓄合計　（先取り</t>
    </r>
    <r>
      <rPr>
        <b val="true"/>
        <sz val="11"/>
        <color theme="4" tint="-0.25"/>
        <rFont val="Meiryo UI"/>
        <family val="3"/>
        <charset val="128"/>
      </rPr>
      <t xml:space="preserve">+</t>
    </r>
    <r>
      <rPr>
        <b val="true"/>
        <sz val="11"/>
        <color theme="4" tint="-0.25"/>
        <rFont val="Noto Sans CJK SC"/>
        <family val="2"/>
      </rPr>
      <t xml:space="preserve">余り貯金）</t>
    </r>
  </si>
  <si>
    <r>
      <rPr>
        <b val="true"/>
        <sz val="11"/>
        <color theme="4" tint="-0.25"/>
        <rFont val="Meiryo UI"/>
        <family val="3"/>
        <charset val="128"/>
      </rPr>
      <t xml:space="preserve">2</t>
    </r>
    <r>
      <rPr>
        <b val="true"/>
        <sz val="11"/>
        <color theme="4" tint="-0.25"/>
        <rFont val="Noto Sans CJK SC"/>
        <family val="2"/>
      </rPr>
      <t xml:space="preserve">人の貯蓄率　（貯蓄合計</t>
    </r>
    <r>
      <rPr>
        <b val="true"/>
        <sz val="11"/>
        <color theme="4" tint="-0.25"/>
        <rFont val="Meiryo UI"/>
        <family val="3"/>
        <charset val="128"/>
      </rPr>
      <t xml:space="preserve">/</t>
    </r>
    <r>
      <rPr>
        <b val="true"/>
        <sz val="11"/>
        <color theme="4" tint="-0.25"/>
        <rFont val="Noto Sans CJK SC"/>
        <family val="2"/>
      </rPr>
      <t xml:space="preserve">収入）</t>
    </r>
  </si>
  <si>
    <t xml:space="preserve">🌾たいようふるさと納税</t>
  </si>
  <si>
    <t xml:space="preserve">🌾みらのふるさと納税</t>
  </si>
  <si>
    <r>
      <rPr>
        <b val="true"/>
        <sz val="11"/>
        <color theme="4" tint="-0.25"/>
        <rFont val="Meiryo UI"/>
        <family val="3"/>
        <charset val="128"/>
      </rPr>
      <t xml:space="preserve">🌾2</t>
    </r>
    <r>
      <rPr>
        <b val="true"/>
        <sz val="11"/>
        <color theme="4" tint="-0.25"/>
        <rFont val="Noto Sans CJK SC"/>
        <family val="2"/>
      </rPr>
      <t xml:space="preserve">人のふるさと納税合計</t>
    </r>
  </si>
  <si>
    <t xml:space="preserve">←年・月を変更するとカレンダーが自動更新されます</t>
  </si>
  <si>
    <t xml:space="preserve">月</t>
  </si>
  <si>
    <t xml:space="preserve">　支出 明細</t>
  </si>
  <si>
    <t xml:space="preserve">　収入</t>
  </si>
  <si>
    <t xml:space="preserve">日</t>
  </si>
  <si>
    <t xml:space="preserve">火</t>
  </si>
  <si>
    <t xml:space="preserve">水</t>
  </si>
  <si>
    <t xml:space="preserve">木</t>
  </si>
  <si>
    <t xml:space="preserve">金</t>
  </si>
  <si>
    <t xml:space="preserve">土</t>
  </si>
  <si>
    <t xml:space="preserve">週</t>
  </si>
  <si>
    <t xml:space="preserve">人</t>
  </si>
  <si>
    <t xml:space="preserve">1week</t>
  </si>
  <si>
    <t xml:space="preserve">週予算　管理</t>
  </si>
  <si>
    <t xml:space="preserve">合計</t>
  </si>
  <si>
    <t xml:space="preserve">項目</t>
  </si>
  <si>
    <t xml:space="preserve">2week</t>
  </si>
  <si>
    <t xml:space="preserve">予算</t>
  </si>
  <si>
    <t xml:space="preserve">差分</t>
  </si>
  <si>
    <t xml:space="preserve">ALL</t>
  </si>
  <si>
    <t xml:space="preserve">3week</t>
  </si>
  <si>
    <t xml:space="preserve">4week</t>
  </si>
  <si>
    <t xml:space="preserve">5week</t>
  </si>
  <si>
    <t xml:space="preserve">今月の収支（たいよう）</t>
  </si>
  <si>
    <t xml:space="preserve">今月の収支（みらの）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</si>
</sst>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m/d/yyyy"/>
    <numFmt numFmtId="166" formatCode="\¥#,##0;[RED]&quot;¥-&quot;#,##0"/>
    <numFmt numFmtId="167" formatCode="0.0%"/>
    <numFmt numFmtId="168" formatCode="\¥#,##0_);[RED]&quot;(¥&quot;#,##0\)"/>
    <numFmt numFmtId="169" formatCode="#,##0"/>
    <numFmt numFmtId="170" formatCode="General"/>
    <numFmt numFmtId="171" formatCode="\¥#,##0;&quot;¥-&quot;#,##0"/>
    <numFmt numFmtId="172" formatCode="d"/>
    <numFmt numFmtId="173" formatCode="0.00%;[RED]\-0.00%"/>
    <numFmt numFmtId="174" formatCode="\¥#,##0;[RED]\¥#,##0"/>
    <numFmt numFmtId="175" formatCode="#,##0_ ;[RED]\-#,##0\ "/>
    <numFmt numFmtId="176" formatCode="#,##0_ "/>
  </numFmts>
  <fonts count="47">
    <font>
      <sz val="11"/>
      <color theme="1"/>
      <name val="游ゴシック"/>
      <family val="2"/>
      <charset val="12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Meiryo UI"/>
      <family val="3"/>
      <charset val="128"/>
    </font>
    <font>
      <b val="true"/>
      <sz val="11"/>
      <color theme="1"/>
      <name val="Noto Sans CJK SC"/>
      <family val="2"/>
    </font>
    <font>
      <b val="true"/>
      <sz val="11"/>
      <color theme="4" tint="-0.25"/>
      <name val="游ゴシック"/>
      <family val="2"/>
      <charset val="128"/>
    </font>
    <font>
      <b val="true"/>
      <sz val="16"/>
      <color theme="4" tint="-0.25"/>
      <name val="Meiryo UI"/>
      <family val="3"/>
      <charset val="128"/>
    </font>
    <font>
      <b val="true"/>
      <sz val="11"/>
      <color theme="4" tint="-0.25"/>
      <name val="Meiryo UI"/>
      <family val="3"/>
      <charset val="128"/>
    </font>
    <font>
      <b val="true"/>
      <sz val="11"/>
      <color theme="0"/>
      <name val="Noto Sans CJK SC"/>
      <family val="2"/>
    </font>
    <font>
      <b val="true"/>
      <sz val="11"/>
      <color theme="0"/>
      <name val="Meiryo UI"/>
      <family val="3"/>
      <charset val="128"/>
    </font>
    <font>
      <b val="true"/>
      <sz val="11"/>
      <color theme="4"/>
      <name val="Noto Sans CJK SC"/>
      <family val="2"/>
    </font>
    <font>
      <b val="true"/>
      <sz val="11"/>
      <color theme="4" tint="-0.25"/>
      <name val="Noto Sans CJK SC"/>
      <family val="2"/>
    </font>
    <font>
      <sz val="10"/>
      <color rgb="FF000000"/>
      <name val="Noto Sans CJK SC"/>
      <family val="2"/>
    </font>
    <font>
      <sz val="9"/>
      <color rgb="FF595959"/>
      <name val="Calibri"/>
      <family val="2"/>
    </font>
    <font>
      <sz val="10"/>
      <color rgb="FF000000"/>
      <name val="Calibri"/>
      <family val="2"/>
    </font>
    <font>
      <b val="true"/>
      <sz val="16"/>
      <color theme="4" tint="-0.25"/>
      <name val="Noto Sans CJK SC"/>
      <family val="2"/>
    </font>
    <font>
      <b val="true"/>
      <sz val="11"/>
      <color rgb="FFFF0000"/>
      <name val="Meiryo UI"/>
      <family val="3"/>
      <charset val="128"/>
    </font>
    <font>
      <b val="true"/>
      <sz val="12"/>
      <color theme="4" tint="-0.25"/>
      <name val="Noto Sans CJK SC"/>
      <family val="2"/>
    </font>
    <font>
      <b val="true"/>
      <sz val="9"/>
      <color theme="4" tint="-0.25"/>
      <name val="Meiryo UI"/>
      <family val="3"/>
      <charset val="128"/>
    </font>
    <font>
      <b val="true"/>
      <sz val="11"/>
      <color rgb="FFFF0000"/>
      <name val="Noto Sans CJK SC"/>
      <family val="2"/>
    </font>
    <font>
      <b val="true"/>
      <sz val="12"/>
      <color theme="0"/>
      <name val="Noto Sans CJK SC"/>
      <family val="2"/>
    </font>
    <font>
      <b val="true"/>
      <sz val="9"/>
      <color theme="4" tint="-0.25"/>
      <name val="Noto Sans CJK SC"/>
      <family val="2"/>
    </font>
    <font>
      <b val="true"/>
      <sz val="10"/>
      <color rgb="FF4472C4"/>
      <name val="Calibri"/>
      <family val="2"/>
    </font>
    <font>
      <b val="true"/>
      <sz val="10"/>
      <color rgb="FFED7D31"/>
      <name val="Calibri"/>
      <family val="2"/>
    </font>
    <font>
      <b val="true"/>
      <sz val="10"/>
      <color rgb="FFA5A5A5"/>
      <name val="Calibri"/>
      <family val="2"/>
    </font>
    <font>
      <b val="true"/>
      <sz val="10"/>
      <color rgb="FFFFC000"/>
      <name val="Calibri"/>
      <family val="2"/>
    </font>
    <font>
      <b val="true"/>
      <sz val="10"/>
      <color rgb="FF5B9BD5"/>
      <name val="Calibri"/>
      <family val="2"/>
    </font>
    <font>
      <b val="true"/>
      <sz val="10"/>
      <color rgb="FF70AD47"/>
      <name val="Calibri"/>
      <family val="2"/>
    </font>
    <font>
      <b val="true"/>
      <sz val="10"/>
      <color rgb="FF264478"/>
      <name val="Calibri"/>
      <family val="2"/>
    </font>
    <font>
      <b val="true"/>
      <sz val="10"/>
      <color rgb="FF9E480E"/>
      <name val="Calibri"/>
      <family val="2"/>
    </font>
    <font>
      <b val="true"/>
      <sz val="10"/>
      <color rgb="FF636363"/>
      <name val="Calibri"/>
      <family val="2"/>
    </font>
    <font>
      <b val="true"/>
      <sz val="10"/>
      <color rgb="FF997300"/>
      <name val="Calibri"/>
      <family val="2"/>
    </font>
    <font>
      <b val="true"/>
      <sz val="10"/>
      <color rgb="FF255E91"/>
      <name val="Calibri"/>
      <family val="2"/>
    </font>
    <font>
      <b val="true"/>
      <sz val="10"/>
      <color rgb="FF43682B"/>
      <name val="Calibri"/>
      <family val="2"/>
    </font>
    <font>
      <b val="true"/>
      <sz val="10"/>
      <color rgb="FF698ED0"/>
      <name val="Calibri"/>
      <family val="2"/>
    </font>
    <font>
      <b val="true"/>
      <sz val="10"/>
      <color rgb="FFF1975A"/>
      <name val="Calibri"/>
      <family val="2"/>
    </font>
    <font>
      <b val="true"/>
      <sz val="10"/>
      <color rgb="FFB7B7B7"/>
      <name val="Calibri"/>
      <family val="2"/>
    </font>
    <font>
      <b val="true"/>
      <sz val="22"/>
      <color theme="4" tint="-0.25"/>
      <name val="Meiryo UI"/>
      <family val="3"/>
      <charset val="128"/>
    </font>
    <font>
      <b val="true"/>
      <sz val="9"/>
      <color theme="0"/>
      <name val="Meiryo UI"/>
      <family val="3"/>
      <charset val="128"/>
    </font>
    <font>
      <b val="true"/>
      <sz val="12"/>
      <color theme="0"/>
      <name val="Meiryo UI"/>
      <family val="3"/>
      <charset val="128"/>
    </font>
    <font>
      <b val="true"/>
      <sz val="16"/>
      <color rgb="FF000000"/>
      <name val="Noto Sans CJK SC"/>
      <family val="2"/>
    </font>
    <font>
      <b val="true"/>
      <sz val="10"/>
      <color rgb="FFA9D18E"/>
      <name val="Calibri"/>
      <family val="2"/>
    </font>
    <font>
      <b val="true"/>
      <sz val="11"/>
      <color theme="5"/>
      <name val="Meiryo UI"/>
      <family val="3"/>
      <charset val="128"/>
    </font>
    <font>
      <b val="true"/>
      <sz val="11"/>
      <color rgb="FF92D050"/>
      <name val="Meiryo UI"/>
      <family val="3"/>
      <charset val="128"/>
    </font>
    <font>
      <b val="true"/>
      <sz val="11"/>
      <color theme="4"/>
      <name val="Meiryo UI"/>
      <family val="3"/>
      <charset val="128"/>
    </font>
    <font>
      <b val="true"/>
      <sz val="11"/>
      <color theme="1" tint="0.3499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8" tint="0.5999"/>
        <bgColor rgb="FFD6DCE5"/>
      </patternFill>
    </fill>
    <fill>
      <patternFill patternType="solid">
        <fgColor rgb="FF0070C0"/>
        <bgColor rgb="FF2E75B6"/>
      </patternFill>
    </fill>
    <fill>
      <patternFill patternType="solid">
        <fgColor theme="8" tint="-0.25"/>
        <bgColor rgb="FF4472C4"/>
      </patternFill>
    </fill>
    <fill>
      <patternFill patternType="solid">
        <fgColor theme="8" tint="0.7999"/>
        <bgColor rgb="FFE7E6E6"/>
      </patternFill>
    </fill>
    <fill>
      <patternFill patternType="solid">
        <fgColor theme="0"/>
        <bgColor rgb="FFEDEDED"/>
      </patternFill>
    </fill>
    <fill>
      <patternFill patternType="solid">
        <fgColor rgb="FF00FFCC"/>
        <bgColor rgb="FF00FFFF"/>
      </patternFill>
    </fill>
    <fill>
      <patternFill patternType="solid">
        <fgColor theme="6" tint="0.7999"/>
        <bgColor rgb="FFE7E6E6"/>
      </patternFill>
    </fill>
    <fill>
      <patternFill patternType="solid">
        <fgColor theme="2"/>
        <bgColor rgb="FFEDEDED"/>
      </patternFill>
    </fill>
    <fill>
      <patternFill patternType="solid">
        <fgColor theme="3" tint="0.7999"/>
        <bgColor rgb="FFD9D9D9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double"/>
      <diagonal/>
    </border>
    <border diagonalUp="false" diagonalDown="false">
      <left style="thin"/>
      <right style="thin"/>
      <top style="medium"/>
      <bottom style="double"/>
      <diagonal/>
    </border>
    <border diagonalUp="false" diagonalDown="false">
      <left style="thin"/>
      <right style="medium"/>
      <top style="medium"/>
      <bottom style="double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 diagonalUp="false" diagonalDown="false">
      <left style="medium">
        <color rgb="FF00B0F0"/>
      </left>
      <right style="thin">
        <color rgb="FF00B0F0"/>
      </right>
      <top/>
      <bottom style="thin">
        <color rgb="FF00B0F0"/>
      </bottom>
      <diagonal/>
    </border>
    <border diagonalUp="false" diagonalDown="false">
      <left style="medium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 diagonalUp="false" diagonalDown="false">
      <left style="medium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 diagonalUp="false" diagonalDown="false">
      <left style="medium">
        <color rgb="FF00B0F0"/>
      </left>
      <right style="medium">
        <color rgb="FF00B0F0"/>
      </right>
      <top style="thin">
        <color rgb="FF00B0F0"/>
      </top>
      <bottom style="thin">
        <color rgb="FF00B0F0"/>
      </bottom>
      <diagonal/>
    </border>
    <border diagonalUp="false" diagonalDown="false">
      <left style="medium"/>
      <right/>
      <top style="medium"/>
      <bottom style="double"/>
      <diagonal/>
    </border>
    <border diagonalUp="false" diagonalDown="false">
      <left/>
      <right/>
      <top style="medium"/>
      <bottom style="double"/>
      <diagonal/>
    </border>
    <border diagonalUp="false" diagonalDown="false">
      <left/>
      <right style="medium"/>
      <top style="medium"/>
      <bottom style="double"/>
      <diagonal/>
    </border>
    <border diagonalUp="false" diagonalDown="false">
      <left style="medium"/>
      <right style="thin"/>
      <top style="double"/>
      <bottom style="medium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>
        <color rgb="FF00B0F0"/>
      </left>
      <right style="medium">
        <color rgb="FF00B0F0"/>
      </right>
      <top style="medium">
        <color rgb="FF00B0F0"/>
      </top>
      <bottom style="double">
        <color rgb="FF00B0F0"/>
      </bottom>
      <diagonal/>
    </border>
    <border diagonalUp="false" diagonalDown="false">
      <left style="thin">
        <color rgb="FF00B0F0"/>
      </left>
      <right style="medium">
        <color rgb="FF00B0F0"/>
      </right>
      <top/>
      <bottom style="thin">
        <color rgb="FF00B0F0"/>
      </bottom>
      <diagonal/>
    </border>
    <border diagonalUp="false" diagonalDown="false">
      <left style="thin">
        <color rgb="FF00B0F0"/>
      </left>
      <right style="medium">
        <color rgb="FF00B0F0"/>
      </right>
      <top style="thin">
        <color rgb="FF00B0F0"/>
      </top>
      <bottom style="thin">
        <color rgb="FF00B0F0"/>
      </bottom>
      <diagonal/>
    </border>
    <border diagonalUp="false" diagonalDown="false">
      <left style="thin">
        <color rgb="FF00B0F0"/>
      </left>
      <right style="medium">
        <color rgb="FF00B0F0"/>
      </right>
      <top style="thin">
        <color rgb="FF00B0F0"/>
      </top>
      <bottom style="medium">
        <color rgb="FF00B0F0"/>
      </bottom>
      <diagonal/>
    </border>
    <border diagonalUp="false" diagonalDown="false">
      <left style="thin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 diagonalUp="false" diagonalDown="false"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 diagonalUp="false" diagonalDown="false">
      <left/>
      <right/>
      <top style="medium">
        <color rgb="FF00B0F0"/>
      </top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double"/>
      <right style="medium"/>
      <top style="medium"/>
      <bottom style="thin"/>
      <diagonal/>
    </border>
    <border diagonalUp="false" diagonalDown="false">
      <left style="double"/>
      <right style="medium"/>
      <top style="thin"/>
      <bottom style="thin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double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 diagonalUp="false" diagonalDown="false">
      <left/>
      <right/>
      <top style="medium">
        <color rgb="FF00B0F0"/>
      </top>
      <bottom style="medium">
        <color rgb="FF00B0F0"/>
      </bottom>
      <diagonal/>
    </border>
    <border diagonalUp="false" diagonalDown="false"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 diagonalUp="false" diagonalDown="false"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 diagonalUp="false" diagonalDown="false">
      <left style="medium">
        <color rgb="FF00B0F0"/>
      </left>
      <right style="thin">
        <color rgb="FF00B0F0"/>
      </right>
      <top style="medium">
        <color rgb="FF00B0F0"/>
      </top>
      <bottom style="thin">
        <color rgb="FF00B0F0"/>
      </bottom>
      <diagonal/>
    </border>
    <border diagonalUp="false" diagonalDown="false">
      <left style="thin">
        <color rgb="FF00B0F0"/>
      </left>
      <right style="thin">
        <color rgb="FF00B0F0"/>
      </right>
      <top style="medium">
        <color rgb="FF00B0F0"/>
      </top>
      <bottom style="thin">
        <color rgb="FF00B0F0"/>
      </bottom>
      <diagonal/>
    </border>
    <border diagonalUp="false" diagonalDown="false">
      <left style="thin">
        <color rgb="FF00B0F0"/>
      </left>
      <right style="medium">
        <color rgb="FF00B0F0"/>
      </right>
      <top style="medium">
        <color rgb="FF00B0F0"/>
      </top>
      <bottom style="thin">
        <color rgb="FF00B0F0"/>
      </bottom>
      <diagonal/>
    </border>
    <border diagonalUp="false" diagonalDown="false"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 diagonalUp="false" diagonalDown="false">
      <left style="thin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 diagonalUp="false" diagonalDown="false">
      <left style="medium">
        <color rgb="FF00B0F0"/>
      </left>
      <right/>
      <top/>
      <bottom/>
      <diagonal/>
    </border>
    <border diagonalUp="false" diagonalDown="false">
      <left style="thin">
        <color rgb="FF00B0F0"/>
      </left>
      <right style="thin">
        <color rgb="FF00B0F0"/>
      </right>
      <top style="thin">
        <color rgb="FF00B0F0"/>
      </top>
      <bottom style="double">
        <color rgb="FF00B0F0"/>
      </bottom>
      <diagonal/>
    </border>
    <border diagonalUp="false" diagonalDown="false">
      <left style="thin">
        <color rgb="FF00B0F0"/>
      </left>
      <right style="medium">
        <color rgb="FF00B0F0"/>
      </right>
      <top style="thin">
        <color rgb="FF00B0F0"/>
      </top>
      <bottom style="double">
        <color rgb="FF00B0F0"/>
      </bottom>
      <diagonal/>
    </border>
    <border diagonalUp="false" diagonalDown="false">
      <left style="medium">
        <color rgb="FF00B0F0"/>
      </left>
      <right style="medium">
        <color rgb="FF00B0F0"/>
      </right>
      <top style="medium">
        <color rgb="FF00B0F0"/>
      </top>
      <bottom style="double">
        <color rgb="FF00B0F0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45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5" fillId="2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4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4" fillId="0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4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3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8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12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12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2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0" fillId="4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4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4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4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4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" fillId="5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5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8" fillId="5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5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5" borderId="2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5" borderId="1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8" fillId="5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5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0" fillId="4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0" fillId="4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0" fillId="4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0" fillId="4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4" borderId="1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0" fillId="4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2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" fillId="5" borderId="2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8" fillId="0" borderId="2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0" fillId="4" borderId="2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0" fillId="4" borderId="2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0" fillId="4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28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2" fillId="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1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8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29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2" fillId="0" borderId="2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2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8" fillId="0" borderId="2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8" fillId="0" borderId="3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8" fillId="0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8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8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8" fillId="0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4" borderId="1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3" borderId="3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8" fillId="5" borderId="3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6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1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8" fillId="5" borderId="3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1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8" fillId="5" borderId="3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3" borderId="1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3" borderId="3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8" fillId="5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8" fillId="5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4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3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2" fillId="0" borderId="37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9" fillId="4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2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2" borderId="3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3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9" fontId="1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10" fillId="4" borderId="3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4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2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4" borderId="2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4" borderId="4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4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4" borderId="7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6" fontId="8" fillId="5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8" fillId="5" borderId="2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8" fillId="7" borderId="4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0" fillId="4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0" fillId="4" borderId="2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2" fillId="2" borderId="8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2" fillId="2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8" fillId="2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8" fillId="2" borderId="2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9" fillId="4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10" fillId="4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0" fillId="4" borderId="2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8" fillId="7" borderId="4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7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2" fillId="2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2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8" fillId="2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8" fillId="2" borderId="2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2" borderId="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1" fontId="8" fillId="7" borderId="4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2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2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0" fillId="2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2" borderId="1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8" fillId="2" borderId="4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8" fillId="7" borderId="4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8" fillId="5" borderId="4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5" borderId="4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10" fillId="3" borderId="4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3" borderId="4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3" borderId="5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3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4" borderId="5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5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5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5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1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3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3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2" borderId="3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2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2" fontId="4" fillId="0" borderId="1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4" fillId="0" borderId="5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4" fillId="0" borderId="3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8" fillId="0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3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3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3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3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5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3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5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3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2" fontId="4" fillId="0" borderId="1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4" fillId="0" borderId="5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4" fillId="0" borderId="3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4" borderId="5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5" borderId="1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5" borderId="5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5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5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" fillId="2" borderId="5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5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1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1" fontId="8" fillId="0" borderId="3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8" borderId="3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8" borderId="3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1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1" fontId="8" fillId="0" borderId="5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8" borderId="5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8" borderId="3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4" borderId="5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6" borderId="1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2" borderId="1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2" borderId="5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2" borderId="3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8" fillId="9" borderId="3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5" borderId="1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5" borderId="5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5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5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10" borderId="3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3" fontId="8" fillId="5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8" fillId="5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3" borderId="6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4" fontId="8" fillId="5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6" fontId="1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1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5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5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0" borderId="3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 patternType="solid">
          <fgColor rgb="FFBDD7EE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F5597"/>
          <bgColor rgb="FF000000"/>
        </patternFill>
      </fill>
    </dxf>
    <dxf>
      <font>
        <color rgb="FFD6DCE5"/>
      </font>
    </dxf>
    <dxf>
      <font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CC"/>
      <rgbColor rgb="FF800000"/>
      <rgbColor rgb="FF43682B"/>
      <rgbColor rgb="FF000080"/>
      <rgbColor rgb="FF997300"/>
      <rgbColor rgb="FF800080"/>
      <rgbColor rgb="FF2E75B6"/>
      <rgbColor rgb="FFB7B7B7"/>
      <rgbColor rgb="FF698ED0"/>
      <rgbColor rgb="FF5B9BD5"/>
      <rgbColor rgb="FF993366"/>
      <rgbColor rgb="FFEDEDED"/>
      <rgbColor rgb="FFDEEBF7"/>
      <rgbColor rgb="FF660066"/>
      <rgbColor rgb="FFF1975A"/>
      <rgbColor rgb="FF0070C0"/>
      <rgbColor rgb="FFBDD7EE"/>
      <rgbColor rgb="FF000080"/>
      <rgbColor rgb="FFFF00FF"/>
      <rgbColor rgb="FFFFFF00"/>
      <rgbColor rgb="FF00FFFF"/>
      <rgbColor rgb="FF800080"/>
      <rgbColor rgb="FF800000"/>
      <rgbColor rgb="FF255E91"/>
      <rgbColor rgb="FF0000FF"/>
      <rgbColor rgb="FF00B0F0"/>
      <rgbColor rgb="FFE7E6E6"/>
      <rgbColor rgb="FFD6DCE5"/>
      <rgbColor rgb="FFFFFF99"/>
      <rgbColor rgb="FFA9D18E"/>
      <rgbColor rgb="FFFF99CC"/>
      <rgbColor rgb="FFCC99FF"/>
      <rgbColor rgb="FFD9D9D9"/>
      <rgbColor rgb="FF4472C4"/>
      <rgbColor rgb="FF33CCCC"/>
      <rgbColor rgb="FF92D050"/>
      <rgbColor rgb="FFFFC000"/>
      <rgbColor rgb="FFFF9900"/>
      <rgbColor rgb="FFED7D31"/>
      <rgbColor rgb="FF636363"/>
      <rgbColor rgb="FFA5A5A5"/>
      <rgbColor rgb="FF2F5597"/>
      <rgbColor rgb="FF70AD47"/>
      <rgbColor rgb="FF003300"/>
      <rgbColor rgb="FF333300"/>
      <rgbColor rgb="FF9E480E"/>
      <rgbColor rgb="FF993366"/>
      <rgbColor rgb="FF264478"/>
      <rgbColor rgb="FF595959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  <a:r>
              <a:rPr b="0" sz="1000" spc="-1" strike="noStrike">
                <a:solidFill>
                  <a:srgbClr val="000000"/>
                </a:solidFill>
                <a:latin typeface="Calibri"/>
              </a:rPr>
              <a:t>たいよう資産</a:t>
            </a:r>
          </a:p>
        </c:rich>
      </c:tx>
      <c:layout>
        <c:manualLayout>
          <c:xMode val="edge"/>
          <c:yMode val="edge"/>
          <c:x val="8.24334350012365E-005"/>
          <c:y val="0.0324410283593957"/>
        </c:manualLayout>
      </c:layout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費目マスタ!$W$4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472c4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費目マスタ!$I$3:$T$3</c:f>
              <c:numCache>
                <c:formatCode>General</c:formatCod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numCache>
            </c:numRef>
          </c:cat>
          <c:val>
            <c:numRef>
              <c:f>費目マスタ!$I$16:$T$16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費目マスタ!$W$5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ed7d31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費目マスタ!$I$3:$T$3</c:f>
              <c:numCache>
                <c:formatCode>General</c:formatCod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numCache>
            </c:numRef>
          </c:cat>
          <c:val>
            <c:numRef>
              <c:f>費目マスタ!$I$29:$T$29</c:f>
              <c:numCache>
                <c:formatCode>General</c:formatCode>
                <c:ptCount val="12"/>
              </c:numCache>
            </c:numRef>
          </c:val>
        </c:ser>
        <c:ser>
          <c:idx val="2"/>
          <c:order val="2"/>
          <c:tx>
            <c:strRef>
              <c:f>費目マスタ!$W$6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a5a5a5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費目マスタ!$I$3:$T$3</c:f>
              <c:numCache>
                <c:formatCode>General</c:formatCod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numCache>
            </c:numRef>
          </c:cat>
          <c:val>
            <c:numRef>
              <c:f>費目マスタ!$I$40:$T$40</c:f>
              <c:numCache>
                <c:formatCode>General</c:formatCode>
                <c:ptCount val="12"/>
              </c:numCache>
            </c:numRef>
          </c:val>
        </c:ser>
        <c:gapWidth val="219"/>
        <c:overlap val="0"/>
        <c:axId val="31371837"/>
        <c:axId val="48096361"/>
      </c:barChart>
      <c:lineChart>
        <c:grouping val="standard"/>
        <c:varyColors val="0"/>
        <c:ser>
          <c:idx val="3"/>
          <c:order val="3"/>
          <c:tx>
            <c:strRef>
              <c:f>費目マスタ!$W$7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ffc000"/>
            </a:solidFill>
            <a:ln cap="rnd" w="28440">
              <a:solidFill>
                <a:srgbClr val="ffc000"/>
              </a:solidFill>
              <a:round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費目マスタ!$I$3:$T$3</c:f>
              <c:numCache>
                <c:formatCode>General</c:formatCod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numCache>
            </c:numRef>
          </c:cat>
          <c:val>
            <c:numRef>
              <c:f>費目マスタ!$I$55:$T$55</c:f>
              <c:numCache>
                <c:formatCode>General</c:formatCode>
                <c:ptCount val="12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1371837"/>
        <c:axId val="48096361"/>
      </c:lineChart>
      <c:dateAx>
        <c:axId val="3137183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8096361"/>
        <c:crosses val="autoZero"/>
        <c:auto val="1"/>
        <c:lblOffset val="100"/>
        <c:baseTimeUnit val="days"/>
        <c:noMultiLvlLbl val="0"/>
      </c:dateAx>
      <c:valAx>
        <c:axId val="48096361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\¥#,##0_);[RED]&quot;(¥&quot;#,##0\)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1371837"/>
        <c:crosses val="autoZero"/>
        <c:crossBetween val="between"/>
        <c:majorUnit val="500000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  <a:r>
              <a:rPr b="0" sz="1000" spc="-1" strike="noStrike">
                <a:solidFill>
                  <a:srgbClr val="000000"/>
                </a:solidFill>
                <a:latin typeface="Calibri"/>
              </a:rPr>
              <a:t>みらの資産</a:t>
            </a:r>
          </a:p>
        </c:rich>
      </c:tx>
      <c:layout>
        <c:manualLayout>
          <c:xMode val="edge"/>
          <c:yMode val="edge"/>
          <c:x val="0.0066461182816413"/>
          <c:y val="0.0274901445466491"/>
        </c:manualLayout>
      </c:layout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費目マスタ!$W$4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472c4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費目マスタ!$I$3:$T$3</c:f>
              <c:strCach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strCache>
            </c:strRef>
          </c:cat>
          <c:val>
            <c:numRef>
              <c:f>費目マスタ!$I$17:$T$17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費目マスタ!$W$5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ed7d31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費目マスタ!$I$3:$T$3</c:f>
              <c:strCach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strCache>
            </c:strRef>
          </c:cat>
          <c:val>
            <c:numRef>
              <c:f>費目マスタ!$I$30:$T$30</c:f>
              <c:numCache>
                <c:formatCode>General</c:formatCode>
                <c:ptCount val="12"/>
              </c:numCache>
            </c:numRef>
          </c:val>
        </c:ser>
        <c:ser>
          <c:idx val="2"/>
          <c:order val="2"/>
          <c:tx>
            <c:strRef>
              <c:f>費目マスタ!$W$6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a5a5a5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費目マスタ!$I$3:$T$3</c:f>
              <c:strCach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strCache>
            </c:strRef>
          </c:cat>
          <c:val>
            <c:numRef>
              <c:f>費目マスタ!$I$41:$T$41</c:f>
              <c:numCache>
                <c:formatCode>General</c:formatCode>
                <c:ptCount val="12"/>
              </c:numCache>
            </c:numRef>
          </c:val>
        </c:ser>
        <c:gapWidth val="219"/>
        <c:overlap val="-27"/>
        <c:axId val="76446577"/>
        <c:axId val="37637573"/>
      </c:barChart>
      <c:lineChart>
        <c:grouping val="standard"/>
        <c:varyColors val="0"/>
        <c:ser>
          <c:idx val="3"/>
          <c:order val="3"/>
          <c:tx>
            <c:strRef>
              <c:f>費目マスタ!$W$7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ffc000"/>
            </a:solidFill>
            <a:ln cap="rnd" w="28440">
              <a:solidFill>
                <a:srgbClr val="ffc000"/>
              </a:solidFill>
              <a:round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費目マスタ!$I$3:$T$3</c:f>
              <c:strCach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strCache>
            </c:strRef>
          </c:cat>
          <c:val>
            <c:numRef>
              <c:f>費目マスタ!$I$56:$T$56</c:f>
              <c:numCache>
                <c:formatCode>General</c:formatCode>
                <c:ptCount val="12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76446577"/>
        <c:axId val="37637573"/>
      </c:lineChart>
      <c:catAx>
        <c:axId val="764465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7637573"/>
        <c:crosses val="autoZero"/>
        <c:auto val="1"/>
        <c:lblAlgn val="ctr"/>
        <c:lblOffset val="100"/>
        <c:noMultiLvlLbl val="0"/>
      </c:catAx>
      <c:valAx>
        <c:axId val="3763757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\¥#,##0_);[RED]&quot;(¥&quot;#,##0\)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6446577"/>
        <c:crosses val="autoZero"/>
        <c:crossBetween val="between"/>
        <c:majorUnit val="500000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000" spc="-1" strike="noStrike">
                <a:solidFill>
                  <a:srgbClr val="000000"/>
                </a:solidFill>
                <a:latin typeface="Calibri"/>
              </a:defRPr>
            </a:pPr>
            <a:r>
              <a:rPr b="0" lang="en-US" sz="1000" spc="-1" strike="noStrike">
                <a:solidFill>
                  <a:srgbClr val="000000"/>
                </a:solidFill>
                <a:latin typeface="Calibri"/>
              </a:rPr>
              <a:t>2人の資産</a:t>
            </a:r>
          </a:p>
        </c:rich>
      </c:tx>
      <c:layout>
        <c:manualLayout>
          <c:xMode val="edge"/>
          <c:yMode val="edge"/>
          <c:x val="8.24334350012365E-005"/>
          <c:y val="0.0324427480916031"/>
        </c:manualLayout>
      </c:layout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費目マスタ!$W$4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472c4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費目マスタ!$I$3:$T$3</c:f>
              <c:numCache>
                <c:formatCode>General</c:formatCod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numCache>
            </c:numRef>
          </c:cat>
          <c:val>
            <c:numRef>
              <c:f>費目マスタ!$I$18:$T$18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strRef>
              <c:f>費目マスタ!$W$5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ed7d31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費目マスタ!$I$3:$T$3</c:f>
              <c:numCache>
                <c:formatCode>General</c:formatCod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numCache>
            </c:numRef>
          </c:cat>
          <c:val>
            <c:numRef>
              <c:f>費目マスタ!$I$31:$T$31</c:f>
              <c:numCache>
                <c:formatCode>General</c:formatCode>
                <c:ptCount val="12"/>
              </c:numCache>
            </c:numRef>
          </c:val>
        </c:ser>
        <c:ser>
          <c:idx val="2"/>
          <c:order val="2"/>
          <c:tx>
            <c:strRef>
              <c:f>費目マスタ!$W$6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a5a5a5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費目マスタ!$I$3:$T$3</c:f>
              <c:numCache>
                <c:formatCode>General</c:formatCod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numCache>
            </c:numRef>
          </c:cat>
          <c:val>
            <c:numRef>
              <c:f>費目マスタ!$I$42:$T$42</c:f>
              <c:numCache>
                <c:formatCode>General</c:formatCode>
                <c:ptCount val="12"/>
              </c:numCache>
            </c:numRef>
          </c:val>
        </c:ser>
        <c:gapWidth val="219"/>
        <c:overlap val="0"/>
        <c:axId val="63440248"/>
        <c:axId val="3920983"/>
      </c:barChart>
      <c:lineChart>
        <c:grouping val="standard"/>
        <c:varyColors val="0"/>
        <c:ser>
          <c:idx val="3"/>
          <c:order val="3"/>
          <c:tx>
            <c:strRef>
              <c:f>費目マスタ!$W$7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ffc000"/>
            </a:solidFill>
            <a:ln cap="rnd" w="28440">
              <a:solidFill>
                <a:srgbClr val="ffc000"/>
              </a:solidFill>
              <a:round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費目マスタ!$I$3:$T$3</c:f>
              <c:numCache>
                <c:formatCode>General</c:formatCode>
                <c:ptCount val="12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🔥💡光熱費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>🍙食費</c:v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numCache>
            </c:numRef>
          </c:cat>
          <c:val>
            <c:numRef>
              <c:f>費目マスタ!$I$57:$T$57</c:f>
              <c:numCache>
                <c:formatCode>General</c:formatCode>
                <c:ptCount val="12"/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3440248"/>
        <c:axId val="3920983"/>
      </c:lineChart>
      <c:dateAx>
        <c:axId val="634402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920983"/>
        <c:crosses val="autoZero"/>
        <c:auto val="1"/>
        <c:lblOffset val="100"/>
        <c:baseTimeUnit val="days"/>
        <c:noMultiLvlLbl val="0"/>
      </c:dateAx>
      <c:valAx>
        <c:axId val="392098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\¥#,##0_);[RED]&quot;(¥&quot;#,##0\)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3440248"/>
        <c:crosses val="autoZero"/>
        <c:crossBetween val="between"/>
        <c:majorUnit val="500000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  <a:r>
              <a:rPr b="0" sz="1000" spc="-1" strike="noStrike">
                <a:solidFill>
                  <a:srgbClr val="000000"/>
                </a:solidFill>
                <a:latin typeface="Calibri"/>
              </a:rPr>
              <a:t>たいよう資産</a:t>
            </a:r>
          </a:p>
        </c:rich>
      </c:tx>
      <c:layout>
        <c:manualLayout>
          <c:xMode val="edge"/>
          <c:yMode val="edge"/>
          <c:x val="3.1174985191882E-005"/>
          <c:y val="0.0324941636696322"/>
        </c:manualLayout>
      </c:layout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資産管理シート!$W$4</c:f>
              <c:strCache>
                <c:ptCount val="1"/>
                <c:pt idx="0">
                  <c:v>現金・預貯金</c:v>
                </c:pt>
              </c:strCache>
            </c:strRef>
          </c:tx>
          <c:spPr>
            <a:solidFill>
              <a:srgbClr val="4472c4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資産管理シート!$I$3:$T$3</c:f>
              <c:numCache>
                <c:formatCode>General</c:formatCod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numCache>
            </c:numRef>
          </c:cat>
          <c:val>
            <c:numRef>
              <c:f>資産管理シート!$I$16:$T$16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資産管理シート!$W$5</c:f>
              <c:strCache>
                <c:ptCount val="1"/>
                <c:pt idx="0">
                  <c:v>証券・株式</c:v>
                </c:pt>
              </c:strCache>
            </c:strRef>
          </c:tx>
          <c:spPr>
            <a:solidFill>
              <a:srgbClr val="ed7d31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資産管理シート!$I$3:$T$3</c:f>
              <c:numCache>
                <c:formatCode>General</c:formatCod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numCache>
            </c:numRef>
          </c:cat>
          <c:val>
            <c:numRef>
              <c:f>資産管理シート!$I$29:$T$29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資産管理シート!$W$6</c:f>
              <c:strCache>
                <c:ptCount val="1"/>
                <c:pt idx="0">
                  <c:v>保険</c:v>
                </c:pt>
              </c:strCache>
            </c:strRef>
          </c:tx>
          <c:spPr>
            <a:solidFill>
              <a:srgbClr val="a5a5a5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資産管理シート!$I$3:$T$3</c:f>
              <c:numCache>
                <c:formatCode>General</c:formatCod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numCache>
            </c:numRef>
          </c:cat>
          <c:val>
            <c:numRef>
              <c:f>資産管理シート!$I$40:$T$40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219"/>
        <c:overlap val="0"/>
        <c:axId val="811082"/>
        <c:axId val="26529132"/>
      </c:barChart>
      <c:lineChart>
        <c:grouping val="standard"/>
        <c:varyColors val="0"/>
        <c:ser>
          <c:idx val="3"/>
          <c:order val="3"/>
          <c:tx>
            <c:strRef>
              <c:f>資産管理シート!$W$7</c:f>
              <c:strCache>
                <c:ptCount val="1"/>
                <c:pt idx="0">
                  <c:v>資産合計</c:v>
                </c:pt>
              </c:strCache>
            </c:strRef>
          </c:tx>
          <c:spPr>
            <a:solidFill>
              <a:srgbClr val="ffc000"/>
            </a:solidFill>
            <a:ln cap="rnd" w="28440">
              <a:solidFill>
                <a:srgbClr val="ffc000"/>
              </a:solidFill>
              <a:round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資産管理シート!$I$3:$T$3</c:f>
              <c:numCache>
                <c:formatCode>General</c:formatCod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numCache>
            </c:numRef>
          </c:cat>
          <c:val>
            <c:numRef>
              <c:f>資産管理シート!$I$56:$T$56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811082"/>
        <c:axId val="26529132"/>
      </c:lineChart>
      <c:dateAx>
        <c:axId val="81108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6529132"/>
        <c:crosses val="autoZero"/>
        <c:auto val="1"/>
        <c:lblOffset val="100"/>
        <c:baseTimeUnit val="days"/>
        <c:noMultiLvlLbl val="0"/>
      </c:dateAx>
      <c:valAx>
        <c:axId val="2652913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\¥#,##0_);[RED]&quot;(¥&quot;#,##0\)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11082"/>
        <c:crosses val="autoZero"/>
        <c:crossBetween val="between"/>
        <c:majorUnit val="500000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  <a:r>
              <a:rPr b="0" sz="1000" spc="-1" strike="noStrike">
                <a:solidFill>
                  <a:srgbClr val="000000"/>
                </a:solidFill>
                <a:latin typeface="Calibri"/>
              </a:rPr>
              <a:t>みらの資産</a:t>
            </a:r>
          </a:p>
        </c:rich>
      </c:tx>
      <c:layout>
        <c:manualLayout>
          <c:xMode val="edge"/>
          <c:yMode val="edge"/>
          <c:x val="0.00661146811665843"/>
          <c:y val="0.0275078864353312"/>
        </c:manualLayout>
      </c:layout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資産管理シート!$W$4</c:f>
              <c:strCache>
                <c:ptCount val="1"/>
                <c:pt idx="0">
                  <c:v>現金・預貯金</c:v>
                </c:pt>
              </c:strCache>
            </c:strRef>
          </c:tx>
          <c:spPr>
            <a:solidFill>
              <a:srgbClr val="4472c4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資産管理シート!$I$3:$T$3</c:f>
              <c:strCach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strCache>
            </c:strRef>
          </c:cat>
          <c:val>
            <c:numRef>
              <c:f>資産管理シート!$I$17:$T$17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資産管理シート!$W$5</c:f>
              <c:strCache>
                <c:ptCount val="1"/>
                <c:pt idx="0">
                  <c:v>証券・株式</c:v>
                </c:pt>
              </c:strCache>
            </c:strRef>
          </c:tx>
          <c:spPr>
            <a:solidFill>
              <a:srgbClr val="ed7d31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資産管理シート!$I$3:$T$3</c:f>
              <c:strCach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strCache>
            </c:strRef>
          </c:cat>
          <c:val>
            <c:numRef>
              <c:f>資産管理シート!$I$30:$T$30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資産管理シート!$W$6</c:f>
              <c:strCache>
                <c:ptCount val="1"/>
                <c:pt idx="0">
                  <c:v>保険</c:v>
                </c:pt>
              </c:strCache>
            </c:strRef>
          </c:tx>
          <c:spPr>
            <a:solidFill>
              <a:srgbClr val="a5a5a5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資産管理シート!$I$3:$T$3</c:f>
              <c:strCach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strCache>
            </c:strRef>
          </c:cat>
          <c:val>
            <c:numRef>
              <c:f>資産管理シート!$I$41:$T$41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219"/>
        <c:overlap val="-27"/>
        <c:axId val="2636718"/>
        <c:axId val="57671163"/>
      </c:barChart>
      <c:lineChart>
        <c:grouping val="standard"/>
        <c:varyColors val="0"/>
        <c:ser>
          <c:idx val="3"/>
          <c:order val="3"/>
          <c:tx>
            <c:strRef>
              <c:f>資産管理シート!$W$7</c:f>
              <c:strCache>
                <c:ptCount val="1"/>
                <c:pt idx="0">
                  <c:v>資産合計</c:v>
                </c:pt>
              </c:strCache>
            </c:strRef>
          </c:tx>
          <c:spPr>
            <a:solidFill>
              <a:srgbClr val="ffc000"/>
            </a:solidFill>
            <a:ln cap="rnd" w="28440">
              <a:solidFill>
                <a:srgbClr val="ffc000"/>
              </a:solidFill>
              <a:round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資産管理シート!$I$3:$T$3</c:f>
              <c:strCach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strCache>
            </c:strRef>
          </c:cat>
          <c:val>
            <c:numRef>
              <c:f>資産管理シート!$I$57:$T$57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2636718"/>
        <c:axId val="57671163"/>
      </c:lineChart>
      <c:catAx>
        <c:axId val="263671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7671163"/>
        <c:crosses val="autoZero"/>
        <c:auto val="1"/>
        <c:lblAlgn val="ctr"/>
        <c:lblOffset val="100"/>
        <c:noMultiLvlLbl val="0"/>
      </c:catAx>
      <c:valAx>
        <c:axId val="5767116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\¥#,##0_);[RED]&quot;(¥&quot;#,##0\)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636718"/>
        <c:crosses val="autoZero"/>
        <c:crossBetween val="between"/>
        <c:majorUnit val="500000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000" spc="-1" strike="noStrike">
                <a:solidFill>
                  <a:srgbClr val="000000"/>
                </a:solidFill>
                <a:latin typeface="Calibri"/>
              </a:defRPr>
            </a:pPr>
            <a:r>
              <a:rPr b="0" lang="en-US" sz="1000" spc="-1" strike="noStrike">
                <a:solidFill>
                  <a:srgbClr val="000000"/>
                </a:solidFill>
                <a:latin typeface="Calibri"/>
              </a:rPr>
              <a:t>2人の資産</a:t>
            </a:r>
          </a:p>
        </c:rich>
      </c:tx>
      <c:layout>
        <c:manualLayout>
          <c:xMode val="edge"/>
          <c:yMode val="edge"/>
          <c:x val="3.1174985191882E-005"/>
          <c:y val="0.0324962140333165"/>
        </c:manualLayout>
      </c:layout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資産管理シート!$W$4</c:f>
              <c:strCache>
                <c:ptCount val="1"/>
                <c:pt idx="0">
                  <c:v>現金・預貯金</c:v>
                </c:pt>
              </c:strCache>
            </c:strRef>
          </c:tx>
          <c:spPr>
            <a:solidFill>
              <a:srgbClr val="4472c4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資産管理シート!$I$3:$T$3</c:f>
              <c:numCache>
                <c:formatCode>General</c:formatCod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numCache>
            </c:numRef>
          </c:cat>
          <c:val>
            <c:numRef>
              <c:f>資産管理シート!$I$18:$T$18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資産管理シート!$W$5</c:f>
              <c:strCache>
                <c:ptCount val="1"/>
                <c:pt idx="0">
                  <c:v>証券・株式</c:v>
                </c:pt>
              </c:strCache>
            </c:strRef>
          </c:tx>
          <c:spPr>
            <a:solidFill>
              <a:srgbClr val="ed7d31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資産管理シート!$I$3:$T$3</c:f>
              <c:numCache>
                <c:formatCode>General</c:formatCod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numCache>
            </c:numRef>
          </c:cat>
          <c:val>
            <c:numRef>
              <c:f>資産管理シート!$I$31:$T$31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資産管理シート!$W$6</c:f>
              <c:strCache>
                <c:ptCount val="1"/>
                <c:pt idx="0">
                  <c:v>保険</c:v>
                </c:pt>
              </c:strCache>
            </c:strRef>
          </c:tx>
          <c:spPr>
            <a:solidFill>
              <a:srgbClr val="a5a5a5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資産管理シート!$I$3:$T$3</c:f>
              <c:numCache>
                <c:formatCode>General</c:formatCod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numCache>
            </c:numRef>
          </c:cat>
          <c:val>
            <c:numRef>
              <c:f>資産管理シート!$I$42:$T$42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219"/>
        <c:overlap val="0"/>
        <c:axId val="95893529"/>
        <c:axId val="9366169"/>
      </c:barChart>
      <c:lineChart>
        <c:grouping val="standard"/>
        <c:varyColors val="0"/>
        <c:ser>
          <c:idx val="3"/>
          <c:order val="3"/>
          <c:tx>
            <c:strRef>
              <c:f>資産管理シート!$W$7</c:f>
              <c:strCache>
                <c:ptCount val="1"/>
                <c:pt idx="0">
                  <c:v>資産合計</c:v>
                </c:pt>
              </c:strCache>
            </c:strRef>
          </c:tx>
          <c:spPr>
            <a:solidFill>
              <a:srgbClr val="ffc000"/>
            </a:solidFill>
            <a:ln cap="rnd" w="28440">
              <a:solidFill>
                <a:srgbClr val="ffc000"/>
              </a:solidFill>
              <a:round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資産管理シート!$I$3:$T$3</c:f>
              <c:numCache>
                <c:formatCode>General</c:formatCode>
                <c:ptCount val="12"/>
                <c:pt idx="0">
                  <c:v>202601</c:v>
                </c:pt>
                <c:pt idx="1">
                  <c:v>202602</c:v>
                </c:pt>
                <c:pt idx="2">
                  <c:v>202603</c:v>
                </c:pt>
                <c:pt idx="3">
                  <c:v>202604</c:v>
                </c:pt>
                <c:pt idx="4">
                  <c:v>202605</c:v>
                </c:pt>
                <c:pt idx="5">
                  <c:v>202606</c:v>
                </c:pt>
                <c:pt idx="6">
                  <c:v>202607</c:v>
                </c:pt>
                <c:pt idx="7">
                  <c:v>202608</c:v>
                </c:pt>
                <c:pt idx="8">
                  <c:v>202609</c:v>
                </c:pt>
                <c:pt idx="9">
                  <c:v>202610</c:v>
                </c:pt>
                <c:pt idx="10">
                  <c:v>202611</c:v>
                </c:pt>
                <c:pt idx="11">
                  <c:v>202612</c:v>
                </c:pt>
              </c:numCache>
            </c:numRef>
          </c:cat>
          <c:val>
            <c:numRef>
              <c:f>資産管理シート!$I$58:$T$58</c:f>
              <c:numCache>
                <c:formatCode>\¥#,##0;[RED]"¥-"#,##0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95893529"/>
        <c:axId val="9366169"/>
      </c:lineChart>
      <c:dateAx>
        <c:axId val="9589352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366169"/>
        <c:crosses val="autoZero"/>
        <c:auto val="1"/>
        <c:lblOffset val="100"/>
        <c:baseTimeUnit val="days"/>
        <c:noMultiLvlLbl val="0"/>
      </c:dateAx>
      <c:valAx>
        <c:axId val="936616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\¥#,##0_);[RED]&quot;(¥&quot;#,##0\)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5893529"/>
        <c:crosses val="autoZero"/>
        <c:crossBetween val="between"/>
        <c:majorUnit val="500000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257130242825607"/>
          <c:y val="0.110590040927694"/>
          <c:w val="0.485651214128035"/>
          <c:h val="0.8087482946794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4472c4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ed7d31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5a5a5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ffc00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5b9bd5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70ad47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264478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9e480e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636363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99730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255e91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43682b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698ed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収支可視化シート!$BW$2:$BW$14</c:f>
              <c:strCache>
                <c:ptCount val="13"/>
                <c:pt idx="0">
                  <c:v>🔥💡たいよう光熱費</c:v>
                </c:pt>
                <c:pt idx="1">
                  <c:v>💧たいよう水道代</c:v>
                </c:pt>
                <c:pt idx="2">
                  <c:v>📱たいよう通信費</c:v>
                </c:pt>
                <c:pt idx="3">
                  <c:v>📺たいようサブスク</c:v>
                </c:pt>
                <c:pt idx="4">
                  <c:v>🍙たいよう食費</c:v>
                </c:pt>
                <c:pt idx="5">
                  <c:v>🧴たいよう日用品</c:v>
                </c:pt>
                <c:pt idx="6">
                  <c:v>📋たいよう雑費</c:v>
                </c:pt>
                <c:pt idx="7">
                  <c:v>⛺たいよう趣味・娯楽</c:v>
                </c:pt>
                <c:pt idx="8">
                  <c:v>🍷たいよう交際費</c:v>
                </c:pt>
                <c:pt idx="9">
                  <c:v>👔たいよう衣服・美容</c:v>
                </c:pt>
                <c:pt idx="10">
                  <c:v>🏥たいよう健康・医療</c:v>
                </c:pt>
                <c:pt idx="11">
                  <c:v>🚃たいよう交通費</c:v>
                </c:pt>
                <c:pt idx="12">
                  <c:v>📜たいよう保険</c:v>
                </c:pt>
              </c:strCache>
            </c:strRef>
          </c:cat>
          <c:val>
            <c:numRef>
              <c:f>収支可視化シート!$BX$2:$BX$14</c:f>
              <c:numCache>
                <c:formatCode>\¥#,##0;[RED]"¥-"#,##0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4472c4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ed7d31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5a5a5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ffc00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5b9bd5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70ad47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264478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9e480e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636363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99730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255e91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43682b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698ed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収支可視化シート!$BY$2:$BY$14</c:f>
              <c:strCache>
                <c:ptCount val="13"/>
                <c:pt idx="0">
                  <c:v>🔥💡みらの光熱費</c:v>
                </c:pt>
                <c:pt idx="1">
                  <c:v>💧みらの水道代</c:v>
                </c:pt>
                <c:pt idx="2">
                  <c:v>📱みらの通信費</c:v>
                </c:pt>
                <c:pt idx="3">
                  <c:v>📺みらのサブスク</c:v>
                </c:pt>
                <c:pt idx="4">
                  <c:v>🍙みらの食費</c:v>
                </c:pt>
                <c:pt idx="5">
                  <c:v>🧴みらの日用品</c:v>
                </c:pt>
                <c:pt idx="6">
                  <c:v>📋みらの雑費</c:v>
                </c:pt>
                <c:pt idx="7">
                  <c:v>⛺みらの趣味・娯楽</c:v>
                </c:pt>
                <c:pt idx="8">
                  <c:v>🍷みらの交際費</c:v>
                </c:pt>
                <c:pt idx="9">
                  <c:v>👔みらの衣服・美容</c:v>
                </c:pt>
                <c:pt idx="10">
                  <c:v>🏥みらの健康・医療</c:v>
                </c:pt>
                <c:pt idx="11">
                  <c:v>🚃みらの交通費</c:v>
                </c:pt>
                <c:pt idx="12">
                  <c:v>📜みらの保険</c:v>
                </c:pt>
              </c:strCache>
            </c:strRef>
          </c:cat>
          <c:val>
            <c:numRef>
              <c:f>収支可視化シート!$BZ$2:$BZ$14</c:f>
              <c:numCache>
                <c:formatCode>\¥#,##0;[RED]"¥-"#,##0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257130242825607"/>
          <c:y val="0.110590040927694"/>
          <c:w val="0.485651214128035"/>
          <c:h val="0.8087482946794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4472c4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ed7d31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5a5a5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ffc00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5b9bd5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70ad47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264478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9e480e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636363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99730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255e91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43682b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698ed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f1975a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b7b7b7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収支可視化シート!$BW$2:$BW$16</c:f>
              <c:strCache>
                <c:ptCount val="15"/>
                <c:pt idx="0">
                  <c:v>🔥💡たいよう光熱費</c:v>
                </c:pt>
                <c:pt idx="1">
                  <c:v>💧たいよう水道代</c:v>
                </c:pt>
                <c:pt idx="2">
                  <c:v>📱たいよう通信費</c:v>
                </c:pt>
                <c:pt idx="3">
                  <c:v>📺たいようサブスク</c:v>
                </c:pt>
                <c:pt idx="4">
                  <c:v>🍙たいよう食費</c:v>
                </c:pt>
                <c:pt idx="5">
                  <c:v>🧴たいよう日用品</c:v>
                </c:pt>
                <c:pt idx="6">
                  <c:v>📋たいよう雑費</c:v>
                </c:pt>
                <c:pt idx="7">
                  <c:v>⛺たいよう趣味・娯楽</c:v>
                </c:pt>
                <c:pt idx="8">
                  <c:v>🍷たいよう交際費</c:v>
                </c:pt>
                <c:pt idx="9">
                  <c:v>👔たいよう衣服・美容</c:v>
                </c:pt>
                <c:pt idx="10">
                  <c:v>🏥たいよう健康・医療</c:v>
                </c:pt>
                <c:pt idx="11">
                  <c:v>🚃たいよう交通費</c:v>
                </c:pt>
                <c:pt idx="12">
                  <c:v>📜たいよう保険</c:v>
                </c:pt>
                <c:pt idx="13">
                  <c:v>🏠たいよう住宅</c:v>
                </c:pt>
                <c:pt idx="14">
                  <c:v>🎓たいよう奨学金</c:v>
                </c:pt>
              </c:strCache>
            </c:strRef>
          </c:cat>
          <c:val>
            <c:numRef>
              <c:f>収支可視化シート!$BX$2:$BX$16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4472c4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ed7d31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5a5a5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ffc00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5b9bd5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70ad47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264478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9e480e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636363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99730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255e91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43682b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698ed0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f1975a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b7b7b7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収支可視化シート!$BY$2:$BY$16</c:f>
              <c:strCache>
                <c:ptCount val="15"/>
                <c:pt idx="0">
                  <c:v>🔥💡みらの光熱費</c:v>
                </c:pt>
                <c:pt idx="1">
                  <c:v>💧みらの水道代</c:v>
                </c:pt>
                <c:pt idx="2">
                  <c:v>📱みらの通信費</c:v>
                </c:pt>
                <c:pt idx="3">
                  <c:v>📺みらのサブスク</c:v>
                </c:pt>
                <c:pt idx="4">
                  <c:v>🍙みらの食費</c:v>
                </c:pt>
                <c:pt idx="5">
                  <c:v>🧴みらの日用品</c:v>
                </c:pt>
                <c:pt idx="6">
                  <c:v>📋みらの雑費</c:v>
                </c:pt>
                <c:pt idx="7">
                  <c:v>⛺みらの趣味・娯楽</c:v>
                </c:pt>
                <c:pt idx="8">
                  <c:v>🍷みらの交際費</c:v>
                </c:pt>
                <c:pt idx="9">
                  <c:v>👔みらの衣服・美容</c:v>
                </c:pt>
                <c:pt idx="10">
                  <c:v>🏥みらの健康・医療</c:v>
                </c:pt>
                <c:pt idx="11">
                  <c:v>🚃みらの交通費</c:v>
                </c:pt>
                <c:pt idx="12">
                  <c:v>📜みらの保険</c:v>
                </c:pt>
                <c:pt idx="13">
                  <c:v>🏠みらの住宅</c:v>
                </c:pt>
                <c:pt idx="14">
                  <c:v>🎓みらの奨学金</c:v>
                </c:pt>
              </c:strCache>
            </c:strRef>
          </c:cat>
          <c:val>
            <c:numRef>
              <c:f>収支可視化シート!$BZ$2:$BZ$16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27年1月!$AB$4:$AB$18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27年1月!$AC$4:$AC$18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27年1月!$AD$4:$AD$18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27年1月!$AE$4:$AE$18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27年2月!$AB$4:$AB$18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27年2月!$AC$4:$AC$18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27年2月!$AD$4:$AD$18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27年2月!$AE$4:$AE$18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27年3月!$AB$4:$AB$18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27年3月!$AC$4:$AC$18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27年3月!$AD$4:$AD$18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27年3月!$AE$4:$AE$18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27年4月!$AB$4:$AB$18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27年4月!$AC$4:$AC$18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27年4月!$AD$4:$AD$18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27年4月!$AE$4:$AE$18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27年5月!$AB$4:$AB$18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27年5月!$AC$4:$AC$18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27年5月!$AD$4:$AD$18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27年5月!$AE$4:$AE$18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27年6月!$AB$4:$AB$18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27年6月!$AC$4:$AC$18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27年6月!$AD$4:$AD$18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27年6月!$AE$4:$AE$18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27年7月!$AB$4:$AB$18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27年7月!$AC$4:$AC$18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27年7月!$AD$4:$AD$18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27年7月!$AE$4:$AE$18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27年8月!$AB$4:$AB$18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27年8月!$AC$4:$AC$18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27年8月!$AD$4:$AD$18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27年8月!$AE$4:$AE$18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27年9月!$AB$4:$AB$18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27年9月!$AC$4:$AC$18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27年9月!$AD$4:$AD$18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27年9月!$AE$4:$AE$18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27年10月!$AB$4:$AB$18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27年10月!$AC$4:$AC$18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27年10月!$AD$4:$AD$18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27年10月!$AE$4:$AE$18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27年11月!$AB$4:$AB$18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27年11月!$AC$4:$AC$18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27年11月!$AD$4:$AD$18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27年11月!$AE$4:$AE$18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たいよう 月別</a:t>
            </a:r>
          </a:p>
        </c:rich>
      </c:tx>
      <c:layout>
        <c:manualLayout>
          <c:xMode val="edge"/>
          <c:yMode val="edge"/>
          <c:x val="0.0111334264757248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6032134125"/>
          <c:y val="0.110629620188631"/>
          <c:w val="0.485679357317499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27年12月!$AB$4:$AB$18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27年12月!$AC$4:$AC$18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600" spc="-1" strike="noStrike">
                <a:solidFill>
                  <a:srgbClr val="000000"/>
                </a:solidFill>
                <a:latin typeface="Calibri"/>
              </a:rPr>
              <a:t>みらの 月別</a:t>
            </a:r>
          </a:p>
        </c:rich>
      </c:tx>
      <c:layout>
        <c:manualLayout>
          <c:xMode val="edge"/>
          <c:yMode val="edge"/>
          <c:x val="0.0111780252155453"/>
          <c:y val="0.023536409210638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137905636671"/>
          <c:y val="0.110629620188631"/>
          <c:w val="0.485680863047528"/>
          <c:h val="0.808734811793695"/>
        </c:manualLayout>
      </c:layout>
      <c:pieChart>
        <c:varyColors val="1"/>
        <c:ser>
          <c:idx val="0"/>
          <c:order val="0"/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0">
                <a:noFill/>
              </a:ln>
            </c:spPr>
          </c:dPt>
          <c:dPt>
            <c:idx val="1"/>
            <c:spPr>
              <a:solidFill>
                <a:srgbClr val="ed7d31"/>
              </a:solidFill>
              <a:ln w="0">
                <a:noFill/>
              </a:ln>
            </c:spPr>
          </c:dPt>
          <c:dPt>
            <c:idx val="2"/>
            <c:spPr>
              <a:solidFill>
                <a:srgbClr val="a5a5a5"/>
              </a:solidFill>
              <a:ln w="0">
                <a:noFill/>
              </a:ln>
            </c:spPr>
          </c:dPt>
          <c:dPt>
            <c:idx val="3"/>
            <c:spPr>
              <a:solidFill>
                <a:srgbClr val="ffc00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5b9bd5"/>
              </a:solidFill>
              <a:ln w="0">
                <a:noFill/>
              </a:ln>
            </c:spPr>
          </c:dPt>
          <c:dPt>
            <c:idx val="5"/>
            <c:spPr>
              <a:solidFill>
                <a:srgbClr val="70ad47"/>
              </a:solidFill>
              <a:ln w="0">
                <a:noFill/>
              </a:ln>
            </c:spPr>
          </c:dPt>
          <c:dPt>
            <c:idx val="6"/>
            <c:spPr>
              <a:solidFill>
                <a:srgbClr val="264478"/>
              </a:solidFill>
              <a:ln w="0">
                <a:noFill/>
              </a:ln>
            </c:spPr>
          </c:dPt>
          <c:dPt>
            <c:idx val="7"/>
            <c:spPr>
              <a:solidFill>
                <a:srgbClr val="9e480e"/>
              </a:solidFill>
              <a:ln w="0">
                <a:noFill/>
              </a:ln>
            </c:spPr>
          </c:dPt>
          <c:dPt>
            <c:idx val="8"/>
            <c:spPr>
              <a:solidFill>
                <a:srgbClr val="636363"/>
              </a:solidFill>
              <a:ln w="0">
                <a:noFill/>
              </a:ln>
            </c:spPr>
          </c:dPt>
          <c:dPt>
            <c:idx val="9"/>
            <c:spPr>
              <a:solidFill>
                <a:srgbClr val="997300"/>
              </a:solidFill>
              <a:ln w="0">
                <a:noFill/>
              </a:ln>
            </c:spPr>
          </c:dPt>
          <c:dPt>
            <c:idx val="10"/>
            <c:spPr>
              <a:solidFill>
                <a:srgbClr val="255e91"/>
              </a:solidFill>
              <a:ln w="0">
                <a:noFill/>
              </a:ln>
            </c:spPr>
          </c:dPt>
          <c:dPt>
            <c:idx val="11"/>
            <c:spPr>
              <a:solidFill>
                <a:srgbClr val="43682b"/>
              </a:solidFill>
              <a:ln w="0">
                <a:noFill/>
              </a:ln>
            </c:spPr>
          </c:dPt>
          <c:dPt>
            <c:idx val="12"/>
            <c:spPr>
              <a:solidFill>
                <a:srgbClr val="698ed0"/>
              </a:solidFill>
              <a:ln w="0">
                <a:noFill/>
              </a:ln>
            </c:spPr>
          </c:dPt>
          <c:dPt>
            <c:idx val="13"/>
            <c:spPr>
              <a:solidFill>
                <a:srgbClr val="f1975a"/>
              </a:solidFill>
              <a:ln w="0">
                <a:noFill/>
              </a:ln>
            </c:spPr>
          </c:dPt>
          <c:dPt>
            <c:idx val="14"/>
            <c:spPr>
              <a:solidFill>
                <a:srgbClr val="b7b7b7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0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2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3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dLbl>
              <c:idx val="14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a9d18e"/>
                      </a:solidFill>
                      <a:latin typeface="Calibri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eparator>
</c:separator>
            <c:showLeaderLines val="1"/>
          </c:dLbls>
          <c:cat>
            <c:strRef>
              <c:f>27年12月!$AD$4:$AD$18</c:f>
              <c:strCache>
                <c:ptCount val="15"/>
                <c:pt idx="0">
                  <c:v>🔥💡光熱費</c:v>
                </c:pt>
                <c:pt idx="1">
                  <c:v>💧水道代</c:v>
                </c:pt>
                <c:pt idx="2">
                  <c:v>📱通信費</c:v>
                </c:pt>
                <c:pt idx="3">
                  <c:v>📺サブスク</c:v>
                </c:pt>
                <c:pt idx="4">
                  <c:v>🎓奨学金</c:v>
                </c:pt>
                <c:pt idx="5">
                  <c:v>📜保険</c:v>
                </c:pt>
                <c:pt idx="6">
                  <c:v>🏠住宅</c:v>
                </c:pt>
                <c:pt idx="7">
                  <c:v>🍙食費</c:v>
                </c:pt>
                <c:pt idx="8">
                  <c:v>🧴日用品</c:v>
                </c:pt>
                <c:pt idx="9">
                  <c:v>📋雑費</c:v>
                </c:pt>
                <c:pt idx="10">
                  <c:v>⛺趣味・娯楽</c:v>
                </c:pt>
                <c:pt idx="11">
                  <c:v>🍷交際費</c:v>
                </c:pt>
                <c:pt idx="12">
                  <c:v>👔衣服・美容</c:v>
                </c:pt>
                <c:pt idx="13">
                  <c:v>🏥健康・医療</c:v>
                </c:pt>
                <c:pt idx="14">
                  <c:v>🚃交通費</c:v>
                </c:pt>
              </c:strCache>
            </c:strRef>
          </c:cat>
          <c:val>
            <c:numRef>
              <c:f>27年12月!$AE$4:$AE$18</c:f>
              <c:numCache>
                <c:formatCode>\¥#,##0;[RED]"¥-"#,##0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firstSliceAng val="0"/>
      </c:pieChart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Relationship Id="rId3" Type="http://schemas.openxmlformats.org/officeDocument/2006/relationships/chart" Target="../charts/chart9.xml"/><Relationship Id="rId4" Type="http://schemas.openxmlformats.org/officeDocument/2006/relationships/chart" Target="../charts/chart10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15.xml"/><Relationship Id="rId2" Type="http://schemas.openxmlformats.org/officeDocument/2006/relationships/chart" Target="../charts/chart16.xml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chart" Target="../charts/chart19.xml"/><Relationship Id="rId2" Type="http://schemas.openxmlformats.org/officeDocument/2006/relationships/chart" Target="../charts/chart20.xml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chart" Target="../charts/chart21.xml"/><Relationship Id="rId2" Type="http://schemas.openxmlformats.org/officeDocument/2006/relationships/chart" Target="../charts/chart22.xml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
</Relationships>
</file>

<file path=xl/drawings/_rels/drawing11.xml.rels><?xml version="1.0" encoding="UTF-8"?>
<Relationships xmlns="http://schemas.openxmlformats.org/package/2006/relationships"><Relationship Id="rId1" Type="http://schemas.openxmlformats.org/officeDocument/2006/relationships/chart" Target="../charts/chart25.xml"/><Relationship Id="rId2" Type="http://schemas.openxmlformats.org/officeDocument/2006/relationships/chart" Target="../charts/chart26.xml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chart" Target="../charts/chart27.xml"/><Relationship Id="rId2" Type="http://schemas.openxmlformats.org/officeDocument/2006/relationships/chart" Target="../charts/chart28.xml"/>
</Relationships>
</file>

<file path=xl/drawings/_rels/drawing13.xml.rels><?xml version="1.0" encoding="UTF-8"?>
<Relationships xmlns="http://schemas.openxmlformats.org/package/2006/relationships"><Relationship Id="rId1" Type="http://schemas.openxmlformats.org/officeDocument/2006/relationships/chart" Target="../charts/chart29.xml"/><Relationship Id="rId2" Type="http://schemas.openxmlformats.org/officeDocument/2006/relationships/chart" Target="../charts/chart30.xml"/>
</Relationships>
</file>

<file path=xl/drawings/_rels/drawing14.xml.rels><?xml version="1.0" encoding="UTF-8"?>
<Relationships xmlns="http://schemas.openxmlformats.org/package/2006/relationships"><Relationship Id="rId1" Type="http://schemas.openxmlformats.org/officeDocument/2006/relationships/chart" Target="../charts/chart31.xml"/><Relationship Id="rId2" Type="http://schemas.openxmlformats.org/officeDocument/2006/relationships/chart" Target="../charts/chart32.xml"/>
</Relationships>
</file>

<file path=xl/drawings/_rels/drawing15.xml.rels><?xml version="1.0" encoding="UTF-8"?>
<Relationships xmlns="http://schemas.openxmlformats.org/package/2006/relationships"><Relationship Id="rId1" Type="http://schemas.openxmlformats.org/officeDocument/2006/relationships/chart" Target="../charts/chart33.xml"/><Relationship Id="rId2" Type="http://schemas.openxmlformats.org/officeDocument/2006/relationships/chart" Target="../charts/chart3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11880</xdr:colOff>
      <xdr:row>64</xdr:row>
      <xdr:rowOff>9360</xdr:rowOff>
    </xdr:from>
    <xdr:to>
      <xdr:col>10</xdr:col>
      <xdr:colOff>378000</xdr:colOff>
      <xdr:row>83</xdr:row>
      <xdr:rowOff>285120</xdr:rowOff>
    </xdr:to>
    <xdr:graphicFrame>
      <xdr:nvGraphicFramePr>
        <xdr:cNvPr id="0" name="Chart 1"/>
        <xdr:cNvGraphicFramePr/>
      </xdr:nvGraphicFramePr>
      <xdr:xfrm>
        <a:off x="11880" y="21954960"/>
        <a:ext cx="4366800" cy="6791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285840</xdr:colOff>
      <xdr:row>63</xdr:row>
      <xdr:rowOff>283320</xdr:rowOff>
    </xdr:from>
    <xdr:to>
      <xdr:col>19</xdr:col>
      <xdr:colOff>22320</xdr:colOff>
      <xdr:row>83</xdr:row>
      <xdr:rowOff>273960</xdr:rowOff>
    </xdr:to>
    <xdr:graphicFrame>
      <xdr:nvGraphicFramePr>
        <xdr:cNvPr id="1" name="Chart 2"/>
        <xdr:cNvGraphicFramePr/>
      </xdr:nvGraphicFramePr>
      <xdr:xfrm>
        <a:off x="3886200" y="21886200"/>
        <a:ext cx="3737160" cy="6848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85</xdr:row>
      <xdr:rowOff>0</xdr:rowOff>
    </xdr:from>
    <xdr:to>
      <xdr:col>10</xdr:col>
      <xdr:colOff>366120</xdr:colOff>
      <xdr:row>104</xdr:row>
      <xdr:rowOff>275760</xdr:rowOff>
    </xdr:to>
    <xdr:graphicFrame>
      <xdr:nvGraphicFramePr>
        <xdr:cNvPr id="2" name="Chart 3"/>
        <xdr:cNvGraphicFramePr/>
      </xdr:nvGraphicFramePr>
      <xdr:xfrm>
        <a:off x="0" y="29146680"/>
        <a:ext cx="4366800" cy="6790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11880</xdr:colOff>
      <xdr:row>68</xdr:row>
      <xdr:rowOff>9360</xdr:rowOff>
    </xdr:from>
    <xdr:to>
      <xdr:col>8</xdr:col>
      <xdr:colOff>1178280</xdr:colOff>
      <xdr:row>87</xdr:row>
      <xdr:rowOff>285120</xdr:rowOff>
    </xdr:to>
    <xdr:graphicFrame>
      <xdr:nvGraphicFramePr>
        <xdr:cNvPr id="3" name="Chart 1"/>
        <xdr:cNvGraphicFramePr/>
      </xdr:nvGraphicFramePr>
      <xdr:xfrm>
        <a:off x="11880" y="19573560"/>
        <a:ext cx="11547360" cy="5705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285840</xdr:colOff>
      <xdr:row>67</xdr:row>
      <xdr:rowOff>283320</xdr:rowOff>
    </xdr:from>
    <xdr:to>
      <xdr:col>17</xdr:col>
      <xdr:colOff>822600</xdr:colOff>
      <xdr:row>87</xdr:row>
      <xdr:rowOff>273960</xdr:rowOff>
    </xdr:to>
    <xdr:graphicFrame>
      <xdr:nvGraphicFramePr>
        <xdr:cNvPr id="4" name="Chart 2"/>
        <xdr:cNvGraphicFramePr/>
      </xdr:nvGraphicFramePr>
      <xdr:xfrm>
        <a:off x="12056040" y="19562040"/>
        <a:ext cx="11652120" cy="5705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89</xdr:row>
      <xdr:rowOff>0</xdr:rowOff>
    </xdr:from>
    <xdr:to>
      <xdr:col>8</xdr:col>
      <xdr:colOff>1166400</xdr:colOff>
      <xdr:row>108</xdr:row>
      <xdr:rowOff>275760</xdr:rowOff>
    </xdr:to>
    <xdr:graphicFrame>
      <xdr:nvGraphicFramePr>
        <xdr:cNvPr id="5" name="Chart 3"/>
        <xdr:cNvGraphicFramePr/>
      </xdr:nvGraphicFramePr>
      <xdr:xfrm>
        <a:off x="0" y="25565040"/>
        <a:ext cx="11547360" cy="5704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20520</xdr:colOff>
      <xdr:row>2</xdr:row>
      <xdr:rowOff>9360</xdr:rowOff>
    </xdr:from>
    <xdr:to>
      <xdr:col>26</xdr:col>
      <xdr:colOff>503280</xdr:colOff>
      <xdr:row>16</xdr:row>
      <xdr:rowOff>230760</xdr:rowOff>
    </xdr:to>
    <xdr:graphicFrame>
      <xdr:nvGraphicFramePr>
        <xdr:cNvPr id="6" name="Chart 1"/>
        <xdr:cNvGraphicFramePr/>
      </xdr:nvGraphicFramePr>
      <xdr:xfrm>
        <a:off x="16882920" y="714240"/>
        <a:ext cx="8153640" cy="4221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37080</xdr:colOff>
      <xdr:row>18</xdr:row>
      <xdr:rowOff>47160</xdr:rowOff>
    </xdr:from>
    <xdr:to>
      <xdr:col>26</xdr:col>
      <xdr:colOff>521640</xdr:colOff>
      <xdr:row>32</xdr:row>
      <xdr:rowOff>266040</xdr:rowOff>
    </xdr:to>
    <xdr:graphicFrame>
      <xdr:nvGraphicFramePr>
        <xdr:cNvPr id="7" name="Chart 2"/>
        <xdr:cNvGraphicFramePr/>
      </xdr:nvGraphicFramePr>
      <xdr:xfrm>
        <a:off x="16899480" y="5324040"/>
        <a:ext cx="8155440" cy="4219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20520</xdr:colOff>
      <xdr:row>2</xdr:row>
      <xdr:rowOff>9360</xdr:rowOff>
    </xdr:from>
    <xdr:to>
      <xdr:col>26</xdr:col>
      <xdr:colOff>503280</xdr:colOff>
      <xdr:row>16</xdr:row>
      <xdr:rowOff>230760</xdr:rowOff>
    </xdr:to>
    <xdr:graphicFrame>
      <xdr:nvGraphicFramePr>
        <xdr:cNvPr id="8" name="Chart 3"/>
        <xdr:cNvGraphicFramePr/>
      </xdr:nvGraphicFramePr>
      <xdr:xfrm>
        <a:off x="16882920" y="714240"/>
        <a:ext cx="8153640" cy="4221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56160</xdr:colOff>
      <xdr:row>18</xdr:row>
      <xdr:rowOff>59760</xdr:rowOff>
    </xdr:from>
    <xdr:to>
      <xdr:col>26</xdr:col>
      <xdr:colOff>540720</xdr:colOff>
      <xdr:row>32</xdr:row>
      <xdr:rowOff>278640</xdr:rowOff>
    </xdr:to>
    <xdr:graphicFrame>
      <xdr:nvGraphicFramePr>
        <xdr:cNvPr id="9" name="Chart 4"/>
        <xdr:cNvGraphicFramePr/>
      </xdr:nvGraphicFramePr>
      <xdr:xfrm>
        <a:off x="16918560" y="5336640"/>
        <a:ext cx="8155440" cy="4219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10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296280</xdr:colOff>
      <xdr:row>54</xdr:row>
      <xdr:rowOff>0</xdr:rowOff>
    </xdr:from>
    <xdr:to>
      <xdr:col>18</xdr:col>
      <xdr:colOff>48600</xdr:colOff>
      <xdr:row>68</xdr:row>
      <xdr:rowOff>236160</xdr:rowOff>
    </xdr:to>
    <xdr:graphicFrame>
      <xdr:nvGraphicFramePr>
        <xdr:cNvPr id="11" name="Chart 2"/>
        <xdr:cNvGraphicFramePr/>
      </xdr:nvGraphicFramePr>
      <xdr:xfrm>
        <a:off x="849996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12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285840</xdr:colOff>
      <xdr:row>54</xdr:row>
      <xdr:rowOff>15840</xdr:rowOff>
    </xdr:from>
    <xdr:to>
      <xdr:col>18</xdr:col>
      <xdr:colOff>38160</xdr:colOff>
      <xdr:row>68</xdr:row>
      <xdr:rowOff>252000</xdr:rowOff>
    </xdr:to>
    <xdr:graphicFrame>
      <xdr:nvGraphicFramePr>
        <xdr:cNvPr id="13" name="Chart 2"/>
        <xdr:cNvGraphicFramePr/>
      </xdr:nvGraphicFramePr>
      <xdr:xfrm>
        <a:off x="8489520" y="1544652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14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270000</xdr:colOff>
      <xdr:row>54</xdr:row>
      <xdr:rowOff>0</xdr:rowOff>
    </xdr:from>
    <xdr:to>
      <xdr:col>18</xdr:col>
      <xdr:colOff>22320</xdr:colOff>
      <xdr:row>68</xdr:row>
      <xdr:rowOff>236160</xdr:rowOff>
    </xdr:to>
    <xdr:graphicFrame>
      <xdr:nvGraphicFramePr>
        <xdr:cNvPr id="15" name="Chart 2"/>
        <xdr:cNvGraphicFramePr/>
      </xdr:nvGraphicFramePr>
      <xdr:xfrm>
        <a:off x="847368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16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280440</xdr:colOff>
      <xdr:row>54</xdr:row>
      <xdr:rowOff>0</xdr:rowOff>
    </xdr:from>
    <xdr:to>
      <xdr:col>18</xdr:col>
      <xdr:colOff>32760</xdr:colOff>
      <xdr:row>68</xdr:row>
      <xdr:rowOff>236160</xdr:rowOff>
    </xdr:to>
    <xdr:graphicFrame>
      <xdr:nvGraphicFramePr>
        <xdr:cNvPr id="17" name="Chart 2"/>
        <xdr:cNvGraphicFramePr/>
      </xdr:nvGraphicFramePr>
      <xdr:xfrm>
        <a:off x="848412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18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296280</xdr:colOff>
      <xdr:row>54</xdr:row>
      <xdr:rowOff>0</xdr:rowOff>
    </xdr:from>
    <xdr:to>
      <xdr:col>18</xdr:col>
      <xdr:colOff>48600</xdr:colOff>
      <xdr:row>68</xdr:row>
      <xdr:rowOff>236160</xdr:rowOff>
    </xdr:to>
    <xdr:graphicFrame>
      <xdr:nvGraphicFramePr>
        <xdr:cNvPr id="19" name="Chart 2"/>
        <xdr:cNvGraphicFramePr/>
      </xdr:nvGraphicFramePr>
      <xdr:xfrm>
        <a:off x="849996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20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275040</xdr:colOff>
      <xdr:row>54</xdr:row>
      <xdr:rowOff>0</xdr:rowOff>
    </xdr:from>
    <xdr:to>
      <xdr:col>18</xdr:col>
      <xdr:colOff>27360</xdr:colOff>
      <xdr:row>68</xdr:row>
      <xdr:rowOff>236160</xdr:rowOff>
    </xdr:to>
    <xdr:graphicFrame>
      <xdr:nvGraphicFramePr>
        <xdr:cNvPr id="21" name="Chart 2"/>
        <xdr:cNvGraphicFramePr/>
      </xdr:nvGraphicFramePr>
      <xdr:xfrm>
        <a:off x="847872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21240</xdr:colOff>
      <xdr:row>54</xdr:row>
      <xdr:rowOff>0</xdr:rowOff>
    </xdr:from>
    <xdr:to>
      <xdr:col>11</xdr:col>
      <xdr:colOff>218160</xdr:colOff>
      <xdr:row>68</xdr:row>
      <xdr:rowOff>236160</xdr:rowOff>
    </xdr:to>
    <xdr:graphicFrame>
      <xdr:nvGraphicFramePr>
        <xdr:cNvPr id="22" name="Chart 1"/>
        <xdr:cNvGraphicFramePr/>
      </xdr:nvGraphicFramePr>
      <xdr:xfrm>
        <a:off x="17676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285840</xdr:colOff>
      <xdr:row>54</xdr:row>
      <xdr:rowOff>0</xdr:rowOff>
    </xdr:from>
    <xdr:to>
      <xdr:col>18</xdr:col>
      <xdr:colOff>38160</xdr:colOff>
      <xdr:row>68</xdr:row>
      <xdr:rowOff>236160</xdr:rowOff>
    </xdr:to>
    <xdr:graphicFrame>
      <xdr:nvGraphicFramePr>
        <xdr:cNvPr id="23" name="Chart 2"/>
        <xdr:cNvGraphicFramePr/>
      </xdr:nvGraphicFramePr>
      <xdr:xfrm>
        <a:off x="848952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24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280440</xdr:colOff>
      <xdr:row>54</xdr:row>
      <xdr:rowOff>0</xdr:rowOff>
    </xdr:from>
    <xdr:to>
      <xdr:col>18</xdr:col>
      <xdr:colOff>32760</xdr:colOff>
      <xdr:row>68</xdr:row>
      <xdr:rowOff>236160</xdr:rowOff>
    </xdr:to>
    <xdr:graphicFrame>
      <xdr:nvGraphicFramePr>
        <xdr:cNvPr id="25" name="Chart 2"/>
        <xdr:cNvGraphicFramePr/>
      </xdr:nvGraphicFramePr>
      <xdr:xfrm>
        <a:off x="848412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26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290880</xdr:colOff>
      <xdr:row>54</xdr:row>
      <xdr:rowOff>0</xdr:rowOff>
    </xdr:from>
    <xdr:to>
      <xdr:col>18</xdr:col>
      <xdr:colOff>43200</xdr:colOff>
      <xdr:row>68</xdr:row>
      <xdr:rowOff>236160</xdr:rowOff>
    </xdr:to>
    <xdr:graphicFrame>
      <xdr:nvGraphicFramePr>
        <xdr:cNvPr id="27" name="Chart 2"/>
        <xdr:cNvGraphicFramePr/>
      </xdr:nvGraphicFramePr>
      <xdr:xfrm>
        <a:off x="849456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28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285840</xdr:colOff>
      <xdr:row>54</xdr:row>
      <xdr:rowOff>0</xdr:rowOff>
    </xdr:from>
    <xdr:to>
      <xdr:col>18</xdr:col>
      <xdr:colOff>38160</xdr:colOff>
      <xdr:row>68</xdr:row>
      <xdr:rowOff>236160</xdr:rowOff>
    </xdr:to>
    <xdr:graphicFrame>
      <xdr:nvGraphicFramePr>
        <xdr:cNvPr id="29" name="Chart 2"/>
        <xdr:cNvGraphicFramePr/>
      </xdr:nvGraphicFramePr>
      <xdr:xfrm>
        <a:off x="848952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30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285840</xdr:colOff>
      <xdr:row>54</xdr:row>
      <xdr:rowOff>0</xdr:rowOff>
    </xdr:from>
    <xdr:to>
      <xdr:col>18</xdr:col>
      <xdr:colOff>38160</xdr:colOff>
      <xdr:row>68</xdr:row>
      <xdr:rowOff>236160</xdr:rowOff>
    </xdr:to>
    <xdr:graphicFrame>
      <xdr:nvGraphicFramePr>
        <xdr:cNvPr id="31" name="Chart 2"/>
        <xdr:cNvGraphicFramePr/>
      </xdr:nvGraphicFramePr>
      <xdr:xfrm>
        <a:off x="848952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54</xdr:row>
      <xdr:rowOff>0</xdr:rowOff>
    </xdr:from>
    <xdr:to>
      <xdr:col>11</xdr:col>
      <xdr:colOff>196920</xdr:colOff>
      <xdr:row>68</xdr:row>
      <xdr:rowOff>236160</xdr:rowOff>
    </xdr:to>
    <xdr:graphicFrame>
      <xdr:nvGraphicFramePr>
        <xdr:cNvPr id="32" name="Chart 1"/>
        <xdr:cNvGraphicFramePr/>
      </xdr:nvGraphicFramePr>
      <xdr:xfrm>
        <a:off x="155520" y="15430680"/>
        <a:ext cx="824508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296280</xdr:colOff>
      <xdr:row>54</xdr:row>
      <xdr:rowOff>0</xdr:rowOff>
    </xdr:from>
    <xdr:to>
      <xdr:col>18</xdr:col>
      <xdr:colOff>48600</xdr:colOff>
      <xdr:row>68</xdr:row>
      <xdr:rowOff>236160</xdr:rowOff>
    </xdr:to>
    <xdr:graphicFrame>
      <xdr:nvGraphicFramePr>
        <xdr:cNvPr id="33" name="Chart 2"/>
        <xdr:cNvGraphicFramePr/>
      </xdr:nvGraphicFramePr>
      <xdr:xfrm>
        <a:off x="8499960" y="15430680"/>
        <a:ext cx="8308800" cy="4236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テーマ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D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" defaultRowHeight="15.75" zeroHeight="false" outlineLevelRow="0" outlineLevelCol="0"/>
  <cols>
    <col collapsed="false" customWidth="true" hidden="false" outlineLevel="0" max="1" min="1" style="1" width="2.13"/>
    <col collapsed="false" customWidth="false" hidden="false" outlineLevel="0" max="2" min="2" style="1" width="9"/>
    <col collapsed="false" customWidth="true" hidden="false" outlineLevel="0" max="3" min="3" style="2" width="13"/>
    <col collapsed="false" customWidth="true" hidden="false" outlineLevel="0" max="4" min="4" style="1" width="80.25"/>
    <col collapsed="false" customWidth="false" hidden="false" outlineLevel="0" max="16384" min="5" style="1" width="9"/>
  </cols>
  <sheetData>
    <row r="1" customFormat="false" ht="16.5" hidden="false" customHeight="true" outlineLevel="0" collapsed="false">
      <c r="B1" s="3" t="s">
        <v>0</v>
      </c>
    </row>
    <row r="2" customFormat="false" ht="16.5" hidden="false" customHeight="true" outlineLevel="0" collapsed="false">
      <c r="B2" s="4" t="s">
        <v>1</v>
      </c>
      <c r="C2" s="5" t="s">
        <v>2</v>
      </c>
      <c r="D2" s="6" t="s">
        <v>3</v>
      </c>
    </row>
    <row r="3" customFormat="false" ht="24.75" hidden="false" customHeight="true" outlineLevel="0" collapsed="false">
      <c r="B3" s="7" t="s">
        <v>4</v>
      </c>
      <c r="C3" s="8" t="n">
        <v>46026</v>
      </c>
      <c r="D3" s="9" t="s">
        <v>5</v>
      </c>
    </row>
    <row r="4" customFormat="false" ht="24.75" hidden="false" customHeight="true" outlineLevel="0" collapsed="false">
      <c r="B4" s="10" t="s">
        <v>6</v>
      </c>
      <c r="C4" s="11" t="n">
        <v>46187</v>
      </c>
      <c r="D4" s="12" t="s">
        <v>7</v>
      </c>
    </row>
    <row r="5" customFormat="false" ht="24.75" hidden="false" customHeight="true" outlineLevel="0" collapsed="false">
      <c r="B5" s="10" t="s">
        <v>8</v>
      </c>
      <c r="C5" s="11" t="n">
        <v>46200</v>
      </c>
      <c r="D5" s="12" t="s">
        <v>9</v>
      </c>
    </row>
    <row r="6" customFormat="false" ht="24.75" hidden="false" customHeight="true" outlineLevel="0" collapsed="false">
      <c r="B6" s="10" t="s">
        <v>10</v>
      </c>
      <c r="C6" s="11" t="n">
        <v>46204</v>
      </c>
      <c r="D6" s="12" t="s">
        <v>11</v>
      </c>
    </row>
    <row r="7" customFormat="false" ht="24.75" hidden="false" customHeight="true" outlineLevel="0" collapsed="false">
      <c r="B7" s="10" t="s">
        <v>12</v>
      </c>
      <c r="C7" s="11" t="n">
        <v>46210</v>
      </c>
      <c r="D7" s="12" t="s">
        <v>13</v>
      </c>
    </row>
    <row r="8" customFormat="false" ht="24.75" hidden="false" customHeight="true" outlineLevel="0" collapsed="false">
      <c r="B8" s="10" t="s">
        <v>14</v>
      </c>
      <c r="C8" s="11" t="n">
        <v>46219</v>
      </c>
      <c r="D8" s="12" t="s">
        <v>15</v>
      </c>
    </row>
    <row r="9" customFormat="false" ht="24.75" hidden="false" customHeight="true" outlineLevel="0" collapsed="false">
      <c r="B9" s="13"/>
      <c r="C9" s="14"/>
      <c r="D9" s="1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I165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A1" activeCellId="0" sqref="A1"/>
    </sheetView>
  </sheetViews>
  <sheetFormatPr defaultColWidth="4.5" defaultRowHeight="27" zeroHeight="false" outlineLevelRow="0" outlineLevelCol="0"/>
  <cols>
    <col collapsed="false" customWidth="false" hidden="false" outlineLevel="0" max="16384" min="1" style="16" width="4.5"/>
  </cols>
  <sheetData>
    <row r="1" customFormat="false" ht="27" hidden="false" customHeight="true" outlineLevel="0" collapsed="false">
      <c r="A1" s="17"/>
      <c r="B1" s="17"/>
      <c r="C1" s="17"/>
      <c r="D1" s="18"/>
      <c r="E1" s="18"/>
      <c r="F1" s="18"/>
      <c r="G1" s="18"/>
      <c r="H1" s="18"/>
    </row>
    <row r="2" customFormat="false" ht="27" hidden="false" customHeight="true" outlineLevel="0" collapsed="false">
      <c r="A2" s="19"/>
      <c r="B2" s="20" t="s">
        <v>16</v>
      </c>
      <c r="C2" s="20"/>
      <c r="D2" s="20"/>
      <c r="E2" s="20"/>
      <c r="F2" s="19"/>
      <c r="G2" s="20" t="s">
        <v>17</v>
      </c>
      <c r="H2" s="20"/>
      <c r="I2" s="20"/>
      <c r="J2" s="20"/>
      <c r="K2" s="19"/>
      <c r="L2" s="20" t="s">
        <v>18</v>
      </c>
      <c r="M2" s="20"/>
      <c r="N2" s="20"/>
      <c r="O2" s="20"/>
      <c r="P2" s="19"/>
      <c r="Q2" s="20" t="s">
        <v>19</v>
      </c>
      <c r="R2" s="20"/>
      <c r="S2" s="20"/>
      <c r="T2" s="20"/>
      <c r="V2" s="20" t="s">
        <v>20</v>
      </c>
      <c r="W2" s="20"/>
      <c r="X2" s="20"/>
      <c r="Y2" s="20"/>
      <c r="AA2" s="20" t="s">
        <v>21</v>
      </c>
      <c r="AB2" s="20"/>
      <c r="AC2" s="20"/>
      <c r="AD2" s="20"/>
      <c r="AF2" s="20" t="s">
        <v>22</v>
      </c>
      <c r="AG2" s="20"/>
      <c r="AH2" s="20"/>
      <c r="AI2" s="20"/>
    </row>
    <row r="3" customFormat="false" ht="27" hidden="false" customHeight="true" outlineLevel="0" collapsed="false">
      <c r="A3" s="21"/>
      <c r="B3" s="22" t="s">
        <v>23</v>
      </c>
      <c r="C3" s="22"/>
      <c r="D3" s="22"/>
      <c r="E3" s="22"/>
      <c r="F3" s="23"/>
      <c r="G3" s="22" t="s">
        <v>24</v>
      </c>
      <c r="H3" s="22"/>
      <c r="I3" s="22"/>
      <c r="J3" s="22"/>
      <c r="K3" s="23"/>
      <c r="L3" s="24" t="s">
        <v>25</v>
      </c>
      <c r="M3" s="24"/>
      <c r="N3" s="24"/>
      <c r="O3" s="24"/>
      <c r="P3" s="23"/>
      <c r="Q3" s="25" t="s">
        <v>26</v>
      </c>
      <c r="R3" s="25"/>
      <c r="S3" s="25"/>
      <c r="T3" s="25"/>
      <c r="V3" s="24" t="s">
        <v>26</v>
      </c>
      <c r="W3" s="24"/>
      <c r="X3" s="24"/>
      <c r="Y3" s="24"/>
      <c r="AA3" s="26" t="s">
        <v>27</v>
      </c>
      <c r="AB3" s="26"/>
      <c r="AC3" s="26"/>
      <c r="AD3" s="26"/>
      <c r="AF3" s="24" t="s">
        <v>28</v>
      </c>
      <c r="AG3" s="24"/>
      <c r="AH3" s="24"/>
      <c r="AI3" s="24"/>
    </row>
    <row r="4" customFormat="false" ht="27" hidden="false" customHeight="true" outlineLevel="0" collapsed="false">
      <c r="A4" s="27"/>
      <c r="B4" s="25" t="s">
        <v>29</v>
      </c>
      <c r="C4" s="25"/>
      <c r="D4" s="25"/>
      <c r="E4" s="25"/>
      <c r="F4" s="19"/>
      <c r="G4" s="28" t="s">
        <v>30</v>
      </c>
      <c r="H4" s="28"/>
      <c r="I4" s="28"/>
      <c r="J4" s="28"/>
      <c r="K4" s="29"/>
      <c r="L4" s="25" t="s">
        <v>31</v>
      </c>
      <c r="M4" s="25"/>
      <c r="N4" s="25"/>
      <c r="O4" s="25"/>
      <c r="P4" s="29"/>
      <c r="Q4" s="30" t="s">
        <v>32</v>
      </c>
      <c r="R4" s="30"/>
      <c r="S4" s="30"/>
      <c r="T4" s="30"/>
      <c r="V4" s="30" t="s">
        <v>32</v>
      </c>
      <c r="W4" s="30"/>
      <c r="X4" s="30"/>
      <c r="Y4" s="30"/>
      <c r="AA4" s="31" t="s">
        <v>33</v>
      </c>
      <c r="AB4" s="31"/>
      <c r="AC4" s="31"/>
      <c r="AD4" s="31"/>
      <c r="AF4" s="30" t="s">
        <v>34</v>
      </c>
      <c r="AG4" s="30"/>
      <c r="AH4" s="30"/>
      <c r="AI4" s="30"/>
    </row>
    <row r="5" customFormat="false" ht="27" hidden="false" customHeight="true" outlineLevel="0" collapsed="false">
      <c r="A5" s="27"/>
      <c r="B5" s="25" t="s">
        <v>35</v>
      </c>
      <c r="C5" s="25"/>
      <c r="D5" s="25"/>
      <c r="E5" s="25"/>
      <c r="F5" s="19"/>
      <c r="G5" s="25" t="s">
        <v>36</v>
      </c>
      <c r="H5" s="25"/>
      <c r="I5" s="25"/>
      <c r="J5" s="25"/>
      <c r="K5" s="29"/>
      <c r="L5" s="25" t="s">
        <v>37</v>
      </c>
      <c r="M5" s="25"/>
      <c r="N5" s="25"/>
      <c r="O5" s="25"/>
      <c r="P5" s="29"/>
      <c r="Q5" s="30" t="s">
        <v>38</v>
      </c>
      <c r="R5" s="30"/>
      <c r="S5" s="30"/>
      <c r="T5" s="30"/>
      <c r="V5" s="30" t="s">
        <v>38</v>
      </c>
      <c r="W5" s="30"/>
      <c r="X5" s="30"/>
      <c r="Y5" s="30"/>
      <c r="AA5" s="31" t="s">
        <v>39</v>
      </c>
      <c r="AB5" s="31"/>
      <c r="AC5" s="31"/>
      <c r="AD5" s="31"/>
      <c r="AF5" s="30" t="s">
        <v>40</v>
      </c>
      <c r="AG5" s="30"/>
      <c r="AH5" s="30"/>
      <c r="AI5" s="30"/>
    </row>
    <row r="6" customFormat="false" ht="27" hidden="false" customHeight="true" outlineLevel="0" collapsed="false">
      <c r="A6" s="27"/>
      <c r="B6" s="25" t="s">
        <v>41</v>
      </c>
      <c r="C6" s="25"/>
      <c r="D6" s="25"/>
      <c r="E6" s="25"/>
      <c r="F6" s="19"/>
      <c r="G6" s="32" t="s">
        <v>42</v>
      </c>
      <c r="H6" s="32"/>
      <c r="I6" s="32"/>
      <c r="J6" s="32"/>
      <c r="K6" s="29"/>
      <c r="L6" s="25" t="s">
        <v>43</v>
      </c>
      <c r="M6" s="25"/>
      <c r="N6" s="25"/>
      <c r="O6" s="25"/>
      <c r="P6" s="29"/>
      <c r="Q6" s="30" t="s">
        <v>44</v>
      </c>
      <c r="R6" s="30"/>
      <c r="S6" s="30"/>
      <c r="T6" s="30"/>
      <c r="V6" s="30" t="s">
        <v>44</v>
      </c>
      <c r="W6" s="30"/>
      <c r="X6" s="30"/>
      <c r="Y6" s="30"/>
      <c r="AA6" s="33" t="s">
        <v>45</v>
      </c>
      <c r="AB6" s="33"/>
      <c r="AC6" s="33"/>
      <c r="AD6" s="33"/>
      <c r="AF6" s="30" t="s">
        <v>46</v>
      </c>
      <c r="AG6" s="30"/>
      <c r="AH6" s="30"/>
      <c r="AI6" s="30"/>
    </row>
    <row r="7" customFormat="false" ht="27" hidden="false" customHeight="true" outlineLevel="0" collapsed="false">
      <c r="A7" s="27"/>
      <c r="B7" s="34" t="s">
        <v>47</v>
      </c>
      <c r="C7" s="34"/>
      <c r="D7" s="34"/>
      <c r="E7" s="34"/>
      <c r="F7" s="19"/>
      <c r="G7" s="19"/>
      <c r="H7" s="19"/>
      <c r="I7" s="29"/>
      <c r="J7" s="29"/>
      <c r="K7" s="29"/>
      <c r="L7" s="35" t="s">
        <v>48</v>
      </c>
      <c r="M7" s="35"/>
      <c r="N7" s="35"/>
      <c r="O7" s="35"/>
      <c r="P7" s="29"/>
      <c r="Q7" s="30" t="s">
        <v>49</v>
      </c>
      <c r="R7" s="30"/>
      <c r="S7" s="30"/>
      <c r="T7" s="30"/>
      <c r="V7" s="30" t="s">
        <v>49</v>
      </c>
      <c r="W7" s="30"/>
      <c r="X7" s="30"/>
      <c r="Y7" s="30"/>
      <c r="AF7" s="30" t="s">
        <v>50</v>
      </c>
      <c r="AG7" s="30"/>
      <c r="AH7" s="30"/>
      <c r="AI7" s="30"/>
    </row>
    <row r="8" customFormat="false" ht="27" hidden="false" customHeight="true" outlineLevel="0" collapsed="false">
      <c r="A8" s="27"/>
      <c r="B8" s="36"/>
      <c r="C8" s="19"/>
      <c r="D8" s="19"/>
      <c r="E8" s="19"/>
      <c r="F8" s="19"/>
      <c r="G8" s="19"/>
      <c r="H8" s="19"/>
      <c r="I8" s="29"/>
      <c r="J8" s="29"/>
      <c r="K8" s="29"/>
      <c r="L8" s="35" t="s">
        <v>51</v>
      </c>
      <c r="M8" s="35"/>
      <c r="N8" s="35"/>
      <c r="O8" s="35"/>
      <c r="P8" s="29"/>
      <c r="Q8" s="30" t="s">
        <v>52</v>
      </c>
      <c r="R8" s="30"/>
      <c r="S8" s="30"/>
      <c r="T8" s="30"/>
      <c r="V8" s="30" t="s">
        <v>52</v>
      </c>
      <c r="W8" s="30"/>
      <c r="X8" s="30"/>
      <c r="Y8" s="30"/>
      <c r="AF8" s="30" t="s">
        <v>53</v>
      </c>
      <c r="AG8" s="30"/>
      <c r="AH8" s="30"/>
      <c r="AI8" s="30"/>
    </row>
    <row r="9" customFormat="false" ht="27" hidden="false" customHeight="true" outlineLevel="0" collapsed="false">
      <c r="A9" s="27"/>
      <c r="B9" s="36"/>
      <c r="C9" s="19"/>
      <c r="D9" s="19"/>
      <c r="E9" s="19"/>
      <c r="F9" s="19"/>
      <c r="G9" s="19"/>
      <c r="H9" s="19"/>
      <c r="I9" s="29"/>
      <c r="J9" s="29"/>
      <c r="K9" s="29"/>
      <c r="L9" s="34" t="s">
        <v>54</v>
      </c>
      <c r="M9" s="34"/>
      <c r="N9" s="34"/>
      <c r="O9" s="34"/>
      <c r="P9" s="29"/>
      <c r="Q9" s="30" t="s">
        <v>55</v>
      </c>
      <c r="R9" s="30"/>
      <c r="S9" s="30"/>
      <c r="T9" s="30"/>
      <c r="V9" s="30" t="s">
        <v>55</v>
      </c>
      <c r="W9" s="30"/>
      <c r="X9" s="30"/>
      <c r="Y9" s="30"/>
      <c r="AF9" s="30" t="s">
        <v>56</v>
      </c>
      <c r="AG9" s="30"/>
      <c r="AH9" s="30"/>
      <c r="AI9" s="30"/>
    </row>
    <row r="10" customFormat="false" ht="27" hidden="false" customHeight="true" outlineLevel="0" collapsed="false">
      <c r="A10" s="27"/>
      <c r="B10" s="36"/>
      <c r="C10" s="19"/>
      <c r="D10" s="19"/>
      <c r="E10" s="19"/>
      <c r="F10" s="19"/>
      <c r="G10" s="19"/>
      <c r="H10" s="19"/>
      <c r="I10" s="29"/>
      <c r="J10" s="29"/>
      <c r="K10" s="29"/>
      <c r="L10" s="29"/>
      <c r="M10" s="29"/>
      <c r="N10" s="29"/>
      <c r="O10" s="29"/>
      <c r="P10" s="29"/>
      <c r="Q10" s="37" t="s">
        <v>57</v>
      </c>
      <c r="R10" s="37"/>
      <c r="S10" s="37"/>
      <c r="T10" s="37"/>
      <c r="V10" s="30" t="s">
        <v>57</v>
      </c>
      <c r="W10" s="30"/>
      <c r="X10" s="30"/>
      <c r="Y10" s="30"/>
      <c r="AF10" s="30" t="s">
        <v>58</v>
      </c>
      <c r="AG10" s="30"/>
      <c r="AH10" s="30"/>
      <c r="AI10" s="30"/>
    </row>
    <row r="11" customFormat="false" ht="27" hidden="false" customHeight="true" outlineLevel="0" collapsed="false">
      <c r="A11" s="27"/>
      <c r="B11" s="36"/>
      <c r="C11" s="19"/>
      <c r="D11" s="19"/>
      <c r="E11" s="19"/>
      <c r="F11" s="19"/>
      <c r="G11" s="19"/>
      <c r="H11" s="1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V11" s="38" t="s">
        <v>54</v>
      </c>
      <c r="W11" s="38"/>
      <c r="X11" s="38"/>
      <c r="Y11" s="38"/>
      <c r="AF11" s="30" t="s">
        <v>59</v>
      </c>
      <c r="AG11" s="30"/>
      <c r="AH11" s="30"/>
      <c r="AI11" s="30"/>
    </row>
    <row r="12" customFormat="false" ht="27" hidden="false" customHeight="true" outlineLevel="0" collapsed="false">
      <c r="A12" s="27"/>
      <c r="B12" s="36"/>
      <c r="C12" s="19"/>
      <c r="D12" s="19"/>
      <c r="E12" s="19"/>
      <c r="F12" s="19"/>
      <c r="G12" s="19"/>
      <c r="H12" s="1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V12" s="25" t="s">
        <v>25</v>
      </c>
      <c r="W12" s="25"/>
      <c r="X12" s="25"/>
      <c r="Y12" s="25"/>
      <c r="AF12" s="30" t="s">
        <v>60</v>
      </c>
      <c r="AG12" s="30"/>
      <c r="AH12" s="30"/>
      <c r="AI12" s="30"/>
    </row>
    <row r="13" customFormat="false" ht="27" hidden="false" customHeight="true" outlineLevel="0" collapsed="false">
      <c r="A13" s="27"/>
      <c r="B13" s="36"/>
      <c r="C13" s="19"/>
      <c r="D13" s="19"/>
      <c r="E13" s="19"/>
      <c r="F13" s="19"/>
      <c r="G13" s="19"/>
      <c r="H13" s="1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V13" s="25" t="s">
        <v>31</v>
      </c>
      <c r="W13" s="25"/>
      <c r="X13" s="25"/>
      <c r="Y13" s="25"/>
      <c r="AF13" s="30" t="s">
        <v>61</v>
      </c>
      <c r="AG13" s="30"/>
      <c r="AH13" s="30"/>
      <c r="AI13" s="30"/>
    </row>
    <row r="14" customFormat="false" ht="27" hidden="false" customHeight="true" outlineLevel="0" collapsed="false">
      <c r="A14" s="27"/>
      <c r="B14" s="36"/>
      <c r="C14" s="19"/>
      <c r="D14" s="19"/>
      <c r="E14" s="19"/>
      <c r="F14" s="19"/>
      <c r="G14" s="19"/>
      <c r="H14" s="1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V14" s="25" t="s">
        <v>37</v>
      </c>
      <c r="W14" s="25"/>
      <c r="X14" s="25"/>
      <c r="Y14" s="25"/>
      <c r="AF14" s="30" t="s">
        <v>62</v>
      </c>
      <c r="AG14" s="30"/>
      <c r="AH14" s="30"/>
      <c r="AI14" s="30"/>
    </row>
    <row r="15" customFormat="false" ht="27" hidden="false" customHeight="true" outlineLevel="0" collapsed="false">
      <c r="A15" s="27"/>
      <c r="B15" s="36"/>
      <c r="C15" s="19"/>
      <c r="D15" s="19"/>
      <c r="E15" s="19"/>
      <c r="F15" s="19"/>
      <c r="G15" s="19"/>
      <c r="H15" s="1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V15" s="25" t="s">
        <v>43</v>
      </c>
      <c r="W15" s="25"/>
      <c r="X15" s="25"/>
      <c r="Y15" s="25"/>
      <c r="AF15" s="38" t="s">
        <v>63</v>
      </c>
      <c r="AG15" s="38"/>
      <c r="AH15" s="38"/>
      <c r="AI15" s="38"/>
    </row>
    <row r="16" customFormat="false" ht="27" hidden="false" customHeight="true" outlineLevel="0" collapsed="false">
      <c r="A16" s="27"/>
      <c r="B16" s="19"/>
      <c r="C16" s="19"/>
      <c r="D16" s="19"/>
      <c r="E16" s="19"/>
      <c r="F16" s="19"/>
      <c r="G16" s="19"/>
      <c r="H16" s="1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V16" s="25" t="s">
        <v>64</v>
      </c>
      <c r="W16" s="25"/>
      <c r="X16" s="25"/>
      <c r="Y16" s="25"/>
      <c r="Z16" s="29"/>
      <c r="AA16" s="29"/>
      <c r="AB16" s="29"/>
      <c r="AC16" s="29"/>
      <c r="AD16" s="29"/>
      <c r="AE16" s="29"/>
      <c r="AF16" s="34" t="s">
        <v>65</v>
      </c>
      <c r="AG16" s="34"/>
      <c r="AH16" s="34"/>
      <c r="AI16" s="34"/>
    </row>
    <row r="17" customFormat="false" ht="27" hidden="false" customHeight="true" outlineLevel="0" collapsed="false">
      <c r="A17" s="27"/>
      <c r="B17" s="19"/>
      <c r="C17" s="19"/>
      <c r="D17" s="19"/>
      <c r="E17" s="19"/>
      <c r="F17" s="19"/>
      <c r="G17" s="19"/>
      <c r="H17" s="1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V17" s="34" t="s">
        <v>51</v>
      </c>
      <c r="W17" s="34"/>
      <c r="X17" s="34"/>
      <c r="Y17" s="34"/>
    </row>
    <row r="18" customFormat="false" ht="27" hidden="false" customHeight="true" outlineLevel="0" collapsed="false">
      <c r="A18" s="27"/>
      <c r="B18" s="19"/>
      <c r="C18" s="19"/>
      <c r="D18" s="19"/>
      <c r="E18" s="19"/>
      <c r="F18" s="19"/>
      <c r="G18" s="19"/>
      <c r="H18" s="1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X18" s="29"/>
      <c r="Y18" s="29"/>
    </row>
    <row r="19" customFormat="false" ht="27" hidden="false" customHeight="true" outlineLevel="0" collapsed="false">
      <c r="A19" s="27"/>
      <c r="B19" s="36"/>
      <c r="C19" s="19"/>
      <c r="D19" s="19"/>
      <c r="E19" s="19"/>
      <c r="F19" s="19"/>
      <c r="G19" s="19"/>
      <c r="H19" s="1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</row>
    <row r="20" customFormat="false" ht="27" hidden="false" customHeight="true" outlineLevel="0" collapsed="false">
      <c r="A20" s="27"/>
      <c r="B20" s="36"/>
      <c r="C20" s="19"/>
      <c r="D20" s="19"/>
      <c r="E20" s="19"/>
      <c r="F20" s="19"/>
      <c r="G20" s="19"/>
      <c r="H20" s="1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</row>
    <row r="21" customFormat="false" ht="27" hidden="false" customHeight="true" outlineLevel="0" collapsed="false">
      <c r="A21" s="27"/>
      <c r="B21" s="36"/>
      <c r="C21" s="19"/>
      <c r="D21" s="19"/>
      <c r="E21" s="19"/>
      <c r="F21" s="19"/>
      <c r="G21" s="19"/>
      <c r="H21" s="1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</row>
    <row r="22" customFormat="false" ht="27" hidden="false" customHeight="true" outlineLevel="0" collapsed="false">
      <c r="A22" s="27"/>
      <c r="B22" s="36"/>
      <c r="C22" s="19"/>
      <c r="D22" s="19"/>
      <c r="E22" s="19"/>
      <c r="F22" s="19"/>
      <c r="G22" s="19"/>
      <c r="H22" s="1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</row>
    <row r="23" customFormat="false" ht="27" hidden="false" customHeight="true" outlineLevel="0" collapsed="false">
      <c r="A23" s="27"/>
      <c r="B23" s="36"/>
      <c r="C23" s="19"/>
      <c r="D23" s="19"/>
      <c r="E23" s="19"/>
      <c r="F23" s="19"/>
      <c r="G23" s="19"/>
      <c r="H23" s="1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</row>
    <row r="24" customFormat="false" ht="27" hidden="false" customHeight="true" outlineLevel="0" collapsed="false">
      <c r="A24" s="27"/>
      <c r="B24" s="36"/>
      <c r="C24" s="19"/>
      <c r="D24" s="19"/>
      <c r="E24" s="19"/>
      <c r="F24" s="19"/>
      <c r="G24" s="19"/>
      <c r="H24" s="1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</row>
    <row r="25" customFormat="false" ht="27" hidden="false" customHeight="true" outlineLevel="0" collapsed="false">
      <c r="A25" s="27"/>
      <c r="B25" s="36"/>
      <c r="C25" s="19"/>
      <c r="D25" s="19"/>
      <c r="E25" s="19"/>
      <c r="F25" s="19"/>
      <c r="G25" s="19"/>
      <c r="H25" s="1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</row>
    <row r="26" customFormat="false" ht="27" hidden="false" customHeight="true" outlineLevel="0" collapsed="false">
      <c r="A26" s="27"/>
      <c r="B26" s="36"/>
      <c r="C26" s="19"/>
      <c r="D26" s="19"/>
      <c r="E26" s="19"/>
      <c r="F26" s="19"/>
      <c r="G26" s="19"/>
      <c r="H26" s="1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</row>
    <row r="27" customFormat="false" ht="27" hidden="false" customHeight="true" outlineLevel="0" collapsed="false">
      <c r="A27" s="27"/>
      <c r="B27" s="36"/>
      <c r="C27" s="19"/>
      <c r="D27" s="19"/>
      <c r="E27" s="19"/>
      <c r="F27" s="19"/>
      <c r="G27" s="19"/>
      <c r="H27" s="1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</row>
    <row r="28" customFormat="false" ht="27" hidden="false" customHeight="true" outlineLevel="0" collapsed="false">
      <c r="A28" s="27"/>
      <c r="B28" s="36"/>
      <c r="C28" s="19"/>
      <c r="D28" s="19"/>
      <c r="E28" s="19"/>
      <c r="F28" s="19"/>
      <c r="G28" s="19"/>
      <c r="H28" s="1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</row>
    <row r="29" customFormat="false" ht="27" hidden="false" customHeight="true" outlineLevel="0" collapsed="false">
      <c r="A29" s="27"/>
      <c r="B29" s="19"/>
      <c r="C29" s="19"/>
      <c r="D29" s="19"/>
      <c r="E29" s="19"/>
      <c r="F29" s="19"/>
      <c r="G29" s="19"/>
      <c r="H29" s="1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</row>
    <row r="30" customFormat="false" ht="27" hidden="false" customHeight="true" outlineLevel="0" collapsed="false">
      <c r="A30" s="27"/>
      <c r="B30" s="19"/>
      <c r="C30" s="19"/>
      <c r="D30" s="19"/>
      <c r="E30" s="19"/>
      <c r="F30" s="19"/>
      <c r="G30" s="19"/>
      <c r="H30" s="1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</row>
    <row r="31" customFormat="false" ht="27" hidden="false" customHeight="true" outlineLevel="0" collapsed="false">
      <c r="A31" s="27"/>
      <c r="B31" s="19"/>
      <c r="C31" s="19"/>
      <c r="D31" s="19"/>
      <c r="E31" s="19"/>
      <c r="F31" s="19"/>
      <c r="G31" s="19"/>
      <c r="H31" s="1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</row>
    <row r="32" customFormat="false" ht="27" hidden="false" customHeight="true" outlineLevel="0" collapsed="false">
      <c r="A32" s="27"/>
      <c r="B32" s="36"/>
      <c r="C32" s="19"/>
      <c r="D32" s="19"/>
      <c r="E32" s="19"/>
      <c r="F32" s="19"/>
      <c r="G32" s="19"/>
      <c r="H32" s="1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</row>
    <row r="33" customFormat="false" ht="27" hidden="false" customHeight="true" outlineLevel="0" collapsed="false">
      <c r="A33" s="27"/>
      <c r="B33" s="36"/>
      <c r="C33" s="19"/>
      <c r="D33" s="19"/>
      <c r="E33" s="19"/>
      <c r="F33" s="19"/>
      <c r="G33" s="19"/>
      <c r="H33" s="1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</row>
    <row r="34" customFormat="false" ht="27" hidden="false" customHeight="true" outlineLevel="0" collapsed="false">
      <c r="A34" s="27"/>
      <c r="B34" s="36"/>
      <c r="C34" s="19"/>
      <c r="D34" s="19"/>
      <c r="E34" s="19"/>
      <c r="F34" s="19"/>
      <c r="G34" s="19"/>
      <c r="H34" s="1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</row>
    <row r="35" customFormat="false" ht="27" hidden="false" customHeight="true" outlineLevel="0" collapsed="false">
      <c r="A35" s="27"/>
      <c r="B35" s="36"/>
      <c r="C35" s="19"/>
      <c r="D35" s="19"/>
      <c r="E35" s="19"/>
      <c r="F35" s="19"/>
      <c r="G35" s="19"/>
      <c r="H35" s="1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</row>
    <row r="36" customFormat="false" ht="27" hidden="false" customHeight="true" outlineLevel="0" collapsed="false">
      <c r="A36" s="27"/>
      <c r="B36" s="36"/>
      <c r="C36" s="19"/>
      <c r="D36" s="19"/>
      <c r="E36" s="19"/>
      <c r="F36" s="19"/>
      <c r="G36" s="19"/>
      <c r="H36" s="1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</row>
    <row r="37" customFormat="false" ht="27" hidden="false" customHeight="true" outlineLevel="0" collapsed="false">
      <c r="A37" s="27"/>
      <c r="B37" s="36"/>
      <c r="C37" s="19"/>
      <c r="D37" s="19"/>
      <c r="E37" s="19"/>
      <c r="F37" s="19"/>
      <c r="G37" s="19"/>
      <c r="H37" s="1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</row>
    <row r="38" customFormat="false" ht="27" hidden="false" customHeight="true" outlineLevel="0" collapsed="false">
      <c r="A38" s="27"/>
      <c r="B38" s="36"/>
      <c r="C38" s="19"/>
      <c r="D38" s="19"/>
      <c r="E38" s="19"/>
      <c r="F38" s="19"/>
      <c r="G38" s="19"/>
      <c r="H38" s="1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</row>
    <row r="39" customFormat="false" ht="27" hidden="false" customHeight="true" outlineLevel="0" collapsed="false">
      <c r="A39" s="27"/>
      <c r="B39" s="36"/>
      <c r="C39" s="19"/>
      <c r="D39" s="19"/>
      <c r="E39" s="19"/>
      <c r="F39" s="19"/>
      <c r="G39" s="19"/>
      <c r="H39" s="1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</row>
    <row r="40" customFormat="false" ht="27" hidden="false" customHeight="true" outlineLevel="0" collapsed="false">
      <c r="A40" s="27"/>
      <c r="B40" s="19"/>
      <c r="C40" s="19"/>
      <c r="D40" s="19"/>
      <c r="E40" s="19"/>
      <c r="F40" s="19"/>
      <c r="G40" s="19"/>
      <c r="H40" s="1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</row>
    <row r="41" customFormat="false" ht="27" hidden="false" customHeight="true" outlineLevel="0" collapsed="false">
      <c r="A41" s="27"/>
      <c r="B41" s="19"/>
      <c r="C41" s="19"/>
      <c r="D41" s="19"/>
      <c r="E41" s="19"/>
      <c r="F41" s="19"/>
      <c r="G41" s="19"/>
      <c r="H41" s="1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</row>
    <row r="42" customFormat="false" ht="27" hidden="false" customHeight="true" outlineLevel="0" collapsed="false">
      <c r="A42" s="27"/>
      <c r="B42" s="19"/>
      <c r="C42" s="19"/>
      <c r="D42" s="19"/>
      <c r="E42" s="19"/>
      <c r="F42" s="19"/>
      <c r="G42" s="19"/>
      <c r="H42" s="1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</row>
    <row r="43" customFormat="false" ht="27" hidden="false" customHeight="true" outlineLevel="0" collapsed="false">
      <c r="A43" s="27"/>
      <c r="B43" s="21"/>
      <c r="C43" s="21"/>
      <c r="D43" s="21"/>
      <c r="E43" s="21"/>
      <c r="F43" s="21"/>
      <c r="G43" s="21"/>
      <c r="H43" s="21"/>
      <c r="I43" s="39"/>
      <c r="J43" s="39"/>
      <c r="K43" s="39"/>
      <c r="L43" s="29"/>
      <c r="M43" s="29"/>
      <c r="N43" s="29"/>
      <c r="O43" s="29"/>
      <c r="P43" s="39"/>
      <c r="Q43" s="39"/>
      <c r="R43" s="39"/>
      <c r="S43" s="39"/>
      <c r="T43" s="39"/>
    </row>
    <row r="44" customFormat="false" ht="27" hidden="false" customHeight="true" outlineLevel="0" collapsed="false">
      <c r="A44" s="27"/>
      <c r="B44" s="21"/>
      <c r="C44" s="21"/>
      <c r="D44" s="21"/>
      <c r="E44" s="21"/>
      <c r="F44" s="21"/>
      <c r="G44" s="21"/>
      <c r="H44" s="21"/>
      <c r="I44" s="39"/>
      <c r="J44" s="39"/>
      <c r="K44" s="39"/>
      <c r="L44" s="29"/>
      <c r="M44" s="29"/>
      <c r="N44" s="29"/>
      <c r="O44" s="29"/>
      <c r="P44" s="39"/>
      <c r="Q44" s="39"/>
      <c r="R44" s="39"/>
      <c r="S44" s="39"/>
      <c r="T44" s="39"/>
    </row>
    <row r="45" customFormat="false" ht="27" hidden="false" customHeight="true" outlineLevel="0" collapsed="false">
      <c r="A45" s="27"/>
      <c r="B45" s="40"/>
      <c r="C45" s="19"/>
      <c r="D45" s="19"/>
      <c r="E45" s="19"/>
      <c r="F45" s="19"/>
      <c r="G45" s="19"/>
      <c r="H45" s="19"/>
      <c r="I45" s="29"/>
      <c r="J45" s="29"/>
      <c r="K45" s="29"/>
      <c r="L45" s="39"/>
      <c r="M45" s="39"/>
      <c r="N45" s="39"/>
      <c r="O45" s="39"/>
      <c r="P45" s="29"/>
      <c r="Q45" s="29"/>
      <c r="R45" s="29"/>
      <c r="S45" s="29"/>
      <c r="T45" s="29"/>
    </row>
    <row r="46" customFormat="false" ht="27" hidden="false" customHeight="true" outlineLevel="0" collapsed="false">
      <c r="A46" s="27"/>
      <c r="B46" s="40"/>
      <c r="C46" s="19"/>
      <c r="D46" s="19"/>
      <c r="E46" s="19"/>
      <c r="F46" s="19"/>
      <c r="G46" s="19"/>
      <c r="H46" s="19"/>
      <c r="I46" s="29"/>
      <c r="J46" s="29"/>
      <c r="K46" s="29"/>
      <c r="L46" s="39"/>
      <c r="M46" s="39"/>
      <c r="N46" s="39"/>
      <c r="O46" s="39"/>
      <c r="P46" s="29"/>
      <c r="Q46" s="29"/>
      <c r="R46" s="29"/>
      <c r="S46" s="29"/>
      <c r="T46" s="29"/>
    </row>
    <row r="47" customFormat="false" ht="27" hidden="false" customHeight="true" outlineLevel="0" collapsed="false">
      <c r="A47" s="27"/>
      <c r="B47" s="40"/>
      <c r="C47" s="19"/>
      <c r="D47" s="19"/>
      <c r="E47" s="19"/>
      <c r="F47" s="19"/>
      <c r="G47" s="19"/>
      <c r="H47" s="1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</row>
    <row r="48" customFormat="false" ht="27" hidden="false" customHeight="true" outlineLevel="0" collapsed="false">
      <c r="A48" s="27"/>
      <c r="B48" s="40"/>
      <c r="C48" s="19"/>
      <c r="D48" s="19"/>
      <c r="E48" s="19"/>
      <c r="F48" s="19"/>
      <c r="G48" s="19"/>
      <c r="H48" s="1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</row>
    <row r="49" customFormat="false" ht="27" hidden="false" customHeight="true" outlineLevel="0" collapsed="false">
      <c r="A49" s="27"/>
      <c r="B49" s="40"/>
      <c r="C49" s="19"/>
      <c r="D49" s="19"/>
      <c r="E49" s="19"/>
      <c r="F49" s="19"/>
      <c r="G49" s="19"/>
      <c r="H49" s="1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</row>
    <row r="50" customFormat="false" ht="27" hidden="false" customHeight="true" outlineLevel="0" collapsed="false">
      <c r="A50" s="27"/>
      <c r="B50" s="40"/>
      <c r="C50" s="19"/>
      <c r="D50" s="19"/>
      <c r="E50" s="19"/>
      <c r="F50" s="19"/>
      <c r="G50" s="19"/>
      <c r="H50" s="1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</row>
    <row r="51" customFormat="false" ht="27" hidden="false" customHeight="true" outlineLevel="0" collapsed="false">
      <c r="A51" s="27"/>
      <c r="B51" s="40"/>
      <c r="C51" s="19"/>
      <c r="D51" s="19"/>
      <c r="E51" s="19"/>
      <c r="F51" s="19"/>
      <c r="G51" s="19"/>
      <c r="H51" s="1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</row>
    <row r="52" customFormat="false" ht="27" hidden="false" customHeight="true" outlineLevel="0" collapsed="false">
      <c r="A52" s="27"/>
      <c r="B52" s="21"/>
      <c r="C52" s="21"/>
      <c r="D52" s="21"/>
      <c r="E52" s="21"/>
      <c r="F52" s="21"/>
      <c r="G52" s="21"/>
      <c r="H52" s="21"/>
      <c r="I52" s="39"/>
      <c r="J52" s="39"/>
      <c r="K52" s="39"/>
      <c r="L52" s="29"/>
      <c r="M52" s="29"/>
      <c r="N52" s="29"/>
      <c r="O52" s="29"/>
      <c r="P52" s="39"/>
      <c r="Q52" s="39"/>
      <c r="R52" s="39"/>
      <c r="S52" s="39"/>
      <c r="T52" s="39"/>
    </row>
    <row r="53" customFormat="false" ht="27" hidden="false" customHeight="true" outlineLevel="0" collapsed="false">
      <c r="A53" s="27"/>
      <c r="B53" s="21"/>
      <c r="C53" s="21"/>
      <c r="D53" s="21"/>
      <c r="E53" s="21"/>
      <c r="F53" s="21"/>
      <c r="G53" s="21"/>
      <c r="H53" s="21"/>
      <c r="I53" s="39"/>
      <c r="J53" s="39"/>
      <c r="K53" s="39"/>
      <c r="L53" s="29"/>
      <c r="M53" s="29"/>
      <c r="N53" s="29"/>
      <c r="O53" s="29"/>
      <c r="P53" s="39"/>
      <c r="Q53" s="39"/>
      <c r="R53" s="39"/>
      <c r="S53" s="39"/>
      <c r="T53" s="39"/>
    </row>
    <row r="54" customFormat="false" ht="27" hidden="false" customHeight="true" outlineLevel="0" collapsed="false">
      <c r="A54" s="27"/>
      <c r="B54" s="21"/>
      <c r="C54" s="21"/>
      <c r="D54" s="21"/>
      <c r="E54" s="21"/>
      <c r="F54" s="21"/>
      <c r="G54" s="21"/>
      <c r="H54" s="21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</row>
    <row r="55" customFormat="false" ht="27" hidden="false" customHeight="true" outlineLevel="0" collapsed="false">
      <c r="A55" s="27"/>
      <c r="B55" s="27"/>
      <c r="C55" s="19"/>
      <c r="D55" s="19"/>
      <c r="E55" s="19"/>
      <c r="F55" s="19"/>
      <c r="G55" s="19"/>
      <c r="H55" s="19"/>
      <c r="I55" s="29"/>
      <c r="J55" s="29"/>
      <c r="K55" s="29"/>
      <c r="L55" s="39"/>
      <c r="M55" s="39"/>
      <c r="N55" s="39"/>
      <c r="O55" s="39"/>
      <c r="P55" s="29"/>
      <c r="Q55" s="29"/>
      <c r="R55" s="29"/>
      <c r="S55" s="29"/>
      <c r="T55" s="29"/>
    </row>
    <row r="56" customFormat="false" ht="27" hidden="false" customHeight="true" outlineLevel="0" collapsed="false">
      <c r="A56" s="27"/>
      <c r="B56" s="27"/>
      <c r="C56" s="19"/>
      <c r="D56" s="19"/>
      <c r="E56" s="19"/>
      <c r="F56" s="19"/>
      <c r="G56" s="19"/>
      <c r="H56" s="19"/>
      <c r="I56" s="29"/>
      <c r="J56" s="29"/>
      <c r="K56" s="29"/>
      <c r="L56" s="39"/>
      <c r="M56" s="39"/>
      <c r="N56" s="39"/>
      <c r="O56" s="39"/>
      <c r="P56" s="29"/>
      <c r="Q56" s="29"/>
      <c r="R56" s="29"/>
      <c r="S56" s="29"/>
      <c r="T56" s="29"/>
    </row>
    <row r="57" customFormat="false" ht="27" hidden="false" customHeight="true" outlineLevel="0" collapsed="false">
      <c r="A57" s="27"/>
      <c r="B57" s="27"/>
      <c r="C57" s="19"/>
      <c r="D57" s="19"/>
      <c r="E57" s="19"/>
      <c r="F57" s="19"/>
      <c r="G57" s="19"/>
      <c r="H57" s="1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</row>
    <row r="58" customFormat="false" ht="27" hidden="false" customHeight="true" outlineLevel="0" collapsed="false">
      <c r="A58" s="27"/>
      <c r="B58" s="27"/>
      <c r="C58" s="19"/>
      <c r="D58" s="19"/>
      <c r="E58" s="19"/>
      <c r="F58" s="19"/>
      <c r="G58" s="19"/>
      <c r="H58" s="19"/>
      <c r="I58" s="41"/>
      <c r="J58" s="41"/>
      <c r="K58" s="41"/>
      <c r="L58" s="29"/>
      <c r="M58" s="29"/>
      <c r="N58" s="29"/>
      <c r="O58" s="29"/>
      <c r="P58" s="41"/>
      <c r="Q58" s="41"/>
      <c r="R58" s="41"/>
      <c r="S58" s="41"/>
      <c r="T58" s="41"/>
    </row>
    <row r="59" customFormat="false" ht="27" hidden="false" customHeight="true" outlineLevel="0" collapsed="false">
      <c r="A59" s="27"/>
      <c r="B59" s="27"/>
      <c r="C59" s="19"/>
      <c r="D59" s="19"/>
      <c r="E59" s="19"/>
      <c r="F59" s="19"/>
      <c r="G59" s="19"/>
      <c r="H59" s="19"/>
      <c r="I59" s="41"/>
      <c r="J59" s="41"/>
      <c r="K59" s="41"/>
      <c r="L59" s="29"/>
      <c r="M59" s="29"/>
      <c r="N59" s="29"/>
      <c r="O59" s="29"/>
      <c r="P59" s="41"/>
      <c r="Q59" s="41"/>
      <c r="R59" s="41"/>
      <c r="S59" s="41"/>
      <c r="T59" s="41"/>
    </row>
    <row r="60" customFormat="false" ht="27" hidden="false" customHeight="true" outlineLevel="0" collapsed="false">
      <c r="A60" s="27"/>
      <c r="B60" s="27"/>
      <c r="C60" s="19"/>
      <c r="D60" s="19"/>
      <c r="E60" s="19"/>
      <c r="F60" s="19"/>
      <c r="G60" s="19"/>
      <c r="H60" s="19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</row>
    <row r="61" customFormat="false" ht="27" hidden="false" customHeight="true" outlineLevel="0" collapsed="false">
      <c r="A61" s="27"/>
      <c r="B61" s="27"/>
      <c r="C61" s="19"/>
      <c r="D61" s="19"/>
      <c r="E61" s="19"/>
      <c r="F61" s="19"/>
      <c r="G61" s="19"/>
      <c r="H61" s="19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</row>
    <row r="62" customFormat="false" ht="27" hidden="false" customHeight="true" outlineLevel="0" collapsed="false">
      <c r="A62" s="27"/>
      <c r="B62" s="27"/>
      <c r="C62" s="19"/>
      <c r="D62" s="19"/>
      <c r="E62" s="19"/>
      <c r="F62" s="19"/>
      <c r="G62" s="19"/>
      <c r="H62" s="19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</row>
    <row r="63" customFormat="false" ht="27" hidden="false" customHeight="true" outlineLevel="0" collapsed="false">
      <c r="A63" s="27"/>
      <c r="B63" s="27"/>
      <c r="C63" s="19"/>
      <c r="D63" s="19"/>
      <c r="E63" s="19"/>
      <c r="F63" s="19"/>
      <c r="G63" s="19"/>
      <c r="H63" s="19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</row>
    <row r="64" customFormat="false" ht="27" hidden="false" customHeight="true" outlineLevel="0" collapsed="false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41"/>
      <c r="M64" s="41"/>
      <c r="N64" s="41"/>
      <c r="O64" s="41"/>
      <c r="P64" s="19"/>
      <c r="Q64" s="19"/>
      <c r="R64" s="19"/>
      <c r="S64" s="19"/>
      <c r="T64" s="19"/>
    </row>
    <row r="65" customFormat="false" ht="27" hidden="false" customHeight="true" outlineLevel="0" collapsed="false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41"/>
      <c r="M65" s="41"/>
      <c r="N65" s="41"/>
      <c r="O65" s="41"/>
      <c r="P65" s="19"/>
      <c r="Q65" s="19"/>
      <c r="R65" s="19"/>
      <c r="S65" s="19"/>
      <c r="T65" s="19"/>
    </row>
    <row r="66" customFormat="false" ht="27" hidden="false" customHeight="true" outlineLevel="0" collapsed="false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customFormat="false" ht="27" hidden="false" customHeight="true" outlineLevel="0" collapsed="false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customFormat="false" ht="27" hidden="false" customHeight="true" outlineLevel="0" collapsed="false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customFormat="false" ht="27" hidden="false" customHeight="true" outlineLevel="0" collapsed="false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customFormat="false" ht="27" hidden="false" customHeight="true" outlineLevel="0" collapsed="false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customFormat="false" ht="27" hidden="false" customHeight="true" outlineLevel="0" collapsed="false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customFormat="false" ht="27" hidden="false" customHeight="true" outlineLevel="0" collapsed="false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customFormat="false" ht="27" hidden="false" customHeight="true" outlineLevel="0" collapsed="false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customFormat="false" ht="27" hidden="false" customHeight="true" outlineLevel="0" collapsed="false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customFormat="false" ht="27" hidden="false" customHeight="true" outlineLevel="0" collapsed="false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customFormat="false" ht="27" hidden="false" customHeight="true" outlineLevel="0" collapsed="false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customFormat="false" ht="27" hidden="false" customHeight="true" outlineLevel="0" collapsed="false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customFormat="false" ht="27" hidden="false" customHeight="true" outlineLevel="0" collapsed="false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customFormat="false" ht="27" hidden="false" customHeight="true" outlineLevel="0" collapsed="false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customFormat="false" ht="27" hidden="false" customHeight="true" outlineLevel="0" collapsed="false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customFormat="false" ht="27" hidden="false" customHeight="true" outlineLevel="0" collapsed="false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customFormat="false" ht="27" hidden="false" customHeight="true" outlineLevel="0" collapsed="false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customFormat="false" ht="27" hidden="false" customHeight="true" outlineLevel="0" collapsed="false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customFormat="false" ht="27" hidden="false" customHeight="true" outlineLevel="0" collapsed="false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customFormat="false" ht="27" hidden="false" customHeight="true" outlineLevel="0" collapsed="false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customFormat="false" ht="27" hidden="false" customHeight="true" outlineLevel="0" collapsed="false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customFormat="false" ht="27" hidden="false" customHeight="true" outlineLevel="0" collapsed="false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customFormat="false" ht="27" hidden="false" customHeight="true" outlineLevel="0" collapsed="false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customFormat="false" ht="27" hidden="false" customHeight="true" outlineLevel="0" collapsed="false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customFormat="false" ht="27" hidden="false" customHeight="true" outlineLevel="0" collapsed="false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customFormat="false" ht="27" hidden="false" customHeight="true" outlineLevel="0" collapsed="false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customFormat="false" ht="27" hidden="false" customHeight="true" outlineLevel="0" collapsed="false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customFormat="false" ht="27" hidden="false" customHeight="true" outlineLevel="0" collapsed="false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customFormat="false" ht="27" hidden="false" customHeight="true" outlineLevel="0" collapsed="false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customFormat="false" ht="27" hidden="false" customHeight="true" outlineLevel="0" collapsed="false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customFormat="false" ht="27" hidden="false" customHeight="true" outlineLevel="0" collapsed="false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customFormat="false" ht="27" hidden="false" customHeight="true" outlineLevel="0" collapsed="false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customFormat="false" ht="27" hidden="false" customHeight="true" outlineLevel="0" collapsed="false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customFormat="false" ht="27" hidden="false" customHeight="true" outlineLevel="0" collapsed="false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</row>
    <row r="100" customFormat="false" ht="27" hidden="false" customHeight="true" outlineLevel="0" collapsed="false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</row>
    <row r="101" customFormat="false" ht="27" hidden="false" customHeight="true" outlineLevel="0" collapsed="false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</row>
    <row r="102" customFormat="false" ht="27" hidden="false" customHeight="true" outlineLevel="0" collapsed="false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</row>
    <row r="103" customFormat="false" ht="27" hidden="false" customHeight="true" outlineLevel="0" collapsed="false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</row>
    <row r="104" customFormat="false" ht="27" hidden="false" customHeight="true" outlineLevel="0" collapsed="false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</row>
    <row r="105" customFormat="false" ht="27" hidden="false" customHeight="true" outlineLevel="0" collapsed="false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</row>
    <row r="106" customFormat="false" ht="27" hidden="false" customHeight="true" outlineLevel="0" collapsed="false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</row>
    <row r="107" customFormat="false" ht="27" hidden="false" customHeight="true" outlineLevel="0" collapsed="false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</row>
    <row r="108" customFormat="false" ht="27" hidden="false" customHeight="true" outlineLevel="0" collapsed="false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</row>
    <row r="109" customFormat="false" ht="27" hidden="false" customHeight="true" outlineLevel="0" collapsed="false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</row>
    <row r="110" customFormat="false" ht="27" hidden="false" customHeight="true" outlineLevel="0" collapsed="false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</row>
    <row r="111" customFormat="false" ht="27" hidden="false" customHeight="true" outlineLevel="0" collapsed="false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</row>
    <row r="112" customFormat="false" ht="27" hidden="false" customHeight="true" outlineLevel="0" collapsed="false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</row>
    <row r="113" customFormat="false" ht="27" hidden="false" customHeight="true" outlineLevel="0" collapsed="false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</row>
    <row r="114" customFormat="false" ht="27" hidden="false" customHeight="true" outlineLevel="0" collapsed="false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</row>
    <row r="115" customFormat="false" ht="27" hidden="false" customHeight="true" outlineLevel="0" collapsed="false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</row>
    <row r="116" customFormat="false" ht="27" hidden="false" customHeight="true" outlineLevel="0" collapsed="false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</row>
    <row r="117" customFormat="false" ht="27" hidden="false" customHeight="true" outlineLevel="0" collapsed="false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</row>
    <row r="118" customFormat="false" ht="27" hidden="false" customHeight="true" outlineLevel="0" collapsed="false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</row>
    <row r="119" customFormat="false" ht="27" hidden="false" customHeight="true" outlineLevel="0" collapsed="false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</row>
    <row r="120" customFormat="false" ht="27" hidden="false" customHeight="true" outlineLevel="0" collapsed="false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</row>
    <row r="121" customFormat="false" ht="27" hidden="false" customHeight="true" outlineLevel="0" collapsed="false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</row>
    <row r="122" customFormat="false" ht="27" hidden="false" customHeight="true" outlineLevel="0" collapsed="false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</row>
    <row r="123" customFormat="false" ht="27" hidden="false" customHeight="true" outlineLevel="0" collapsed="false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</row>
    <row r="124" customFormat="false" ht="27" hidden="false" customHeight="true" outlineLevel="0" collapsed="false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</row>
    <row r="125" customFormat="false" ht="27" hidden="false" customHeight="true" outlineLevel="0" collapsed="false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</row>
    <row r="126" customFormat="false" ht="27" hidden="false" customHeight="true" outlineLevel="0" collapsed="false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</row>
    <row r="127" customFormat="false" ht="27" hidden="false" customHeight="true" outlineLevel="0" collapsed="false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</row>
    <row r="128" customFormat="false" ht="27" hidden="false" customHeight="true" outlineLevel="0" collapsed="false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</row>
    <row r="129" customFormat="false" ht="27" hidden="false" customHeight="true" outlineLevel="0" collapsed="false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</row>
    <row r="130" customFormat="false" ht="27" hidden="false" customHeight="true" outlineLevel="0" collapsed="false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</row>
    <row r="131" customFormat="false" ht="27" hidden="false" customHeight="true" outlineLevel="0" collapsed="false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</row>
    <row r="132" customFormat="false" ht="27" hidden="false" customHeight="true" outlineLevel="0" collapsed="false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</row>
    <row r="133" customFormat="false" ht="27" hidden="false" customHeight="true" outlineLevel="0" collapsed="false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</row>
    <row r="134" customFormat="false" ht="27" hidden="false" customHeight="true" outlineLevel="0" collapsed="false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</row>
    <row r="135" customFormat="false" ht="27" hidden="false" customHeight="true" outlineLevel="0" collapsed="false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</row>
    <row r="136" customFormat="false" ht="27" hidden="false" customHeight="true" outlineLevel="0" collapsed="false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</row>
    <row r="137" customFormat="false" ht="27" hidden="false" customHeight="true" outlineLevel="0" collapsed="false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</row>
    <row r="138" customFormat="false" ht="27" hidden="false" customHeight="true" outlineLevel="0" collapsed="false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</row>
    <row r="139" customFormat="false" ht="27" hidden="false" customHeight="true" outlineLevel="0" collapsed="false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</row>
    <row r="140" customFormat="false" ht="27" hidden="false" customHeight="true" outlineLevel="0" collapsed="false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</row>
    <row r="141" customFormat="false" ht="27" hidden="false" customHeight="true" outlineLevel="0" collapsed="false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</row>
    <row r="142" customFormat="false" ht="27" hidden="false" customHeight="true" outlineLevel="0" collapsed="false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</row>
    <row r="143" customFormat="false" ht="27" hidden="false" customHeight="true" outlineLevel="0" collapsed="false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</row>
    <row r="144" customFormat="false" ht="27" hidden="false" customHeight="true" outlineLevel="0" collapsed="false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</row>
    <row r="145" customFormat="false" ht="27" hidden="false" customHeight="true" outlineLevel="0" collapsed="false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</row>
    <row r="146" customFormat="false" ht="27" hidden="false" customHeight="true" outlineLevel="0" collapsed="false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</row>
    <row r="147" customFormat="false" ht="27" hidden="false" customHeight="true" outlineLevel="0" collapsed="false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</row>
    <row r="148" customFormat="false" ht="27" hidden="false" customHeight="true" outlineLevel="0" collapsed="false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</row>
    <row r="149" customFormat="false" ht="27" hidden="false" customHeight="true" outlineLevel="0" collapsed="false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</row>
    <row r="150" customFormat="false" ht="27" hidden="false" customHeight="true" outlineLevel="0" collapsed="false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</row>
    <row r="151" customFormat="false" ht="27" hidden="false" customHeight="true" outlineLevel="0" collapsed="false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</row>
    <row r="152" customFormat="false" ht="27" hidden="false" customHeight="true" outlineLevel="0" collapsed="false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</row>
    <row r="153" customFormat="false" ht="27" hidden="false" customHeight="true" outlineLevel="0" collapsed="false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</row>
    <row r="154" customFormat="false" ht="27" hidden="false" customHeight="true" outlineLevel="0" collapsed="false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</row>
    <row r="155" customFormat="false" ht="27" hidden="false" customHeight="true" outlineLevel="0" collapsed="false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</row>
    <row r="156" customFormat="false" ht="27" hidden="false" customHeight="true" outlineLevel="0" collapsed="false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</row>
    <row r="157" customFormat="false" ht="27" hidden="false" customHeight="true" outlineLevel="0" collapsed="false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</row>
    <row r="158" customFormat="false" ht="27" hidden="false" customHeight="true" outlineLevel="0" collapsed="false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</row>
    <row r="159" customFormat="false" ht="27" hidden="false" customHeight="true" outlineLevel="0" collapsed="false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</row>
    <row r="160" customFormat="false" ht="27" hidden="false" customHeight="true" outlineLevel="0" collapsed="false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</row>
    <row r="161" customFormat="false" ht="27" hidden="false" customHeight="true" outlineLevel="0" collapsed="false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</row>
    <row r="162" customFormat="false" ht="27" hidden="false" customHeight="true" outlineLevel="0" collapsed="false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</row>
    <row r="163" customFormat="false" ht="27" hidden="false" customHeight="true" outlineLevel="0" collapsed="false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</row>
    <row r="164" customFormat="false" ht="27" hidden="false" customHeight="true" outlineLevel="0" collapsed="false">
      <c r="L164" s="19"/>
      <c r="M164" s="19"/>
      <c r="N164" s="19"/>
      <c r="O164" s="19"/>
    </row>
    <row r="165" customFormat="false" ht="27" hidden="false" customHeight="true" outlineLevel="0" collapsed="false">
      <c r="L165" s="19"/>
      <c r="M165" s="19"/>
      <c r="N165" s="19"/>
      <c r="O165" s="19"/>
    </row>
  </sheetData>
  <mergeCells count="64">
    <mergeCell ref="B2:E2"/>
    <mergeCell ref="G2:J2"/>
    <mergeCell ref="L2:O2"/>
    <mergeCell ref="Q2:T2"/>
    <mergeCell ref="V2:Y2"/>
    <mergeCell ref="AA2:AD2"/>
    <mergeCell ref="AF2:AI2"/>
    <mergeCell ref="B3:E3"/>
    <mergeCell ref="G3:J3"/>
    <mergeCell ref="L3:O3"/>
    <mergeCell ref="Q3:T3"/>
    <mergeCell ref="V3:Y3"/>
    <mergeCell ref="AA3:AD3"/>
    <mergeCell ref="AF3:AI3"/>
    <mergeCell ref="B4:E4"/>
    <mergeCell ref="G4:J4"/>
    <mergeCell ref="L4:O4"/>
    <mergeCell ref="Q4:T4"/>
    <mergeCell ref="V4:Y4"/>
    <mergeCell ref="AA4:AD4"/>
    <mergeCell ref="AF4:AI4"/>
    <mergeCell ref="B5:E5"/>
    <mergeCell ref="G5:J5"/>
    <mergeCell ref="L5:O5"/>
    <mergeCell ref="Q5:T5"/>
    <mergeCell ref="V5:Y5"/>
    <mergeCell ref="AA5:AD5"/>
    <mergeCell ref="AF5:AI5"/>
    <mergeCell ref="B6:E6"/>
    <mergeCell ref="G6:J6"/>
    <mergeCell ref="L6:O6"/>
    <mergeCell ref="Q6:T6"/>
    <mergeCell ref="V6:Y6"/>
    <mergeCell ref="AA6:AD6"/>
    <mergeCell ref="AF6:AI6"/>
    <mergeCell ref="B7:E7"/>
    <mergeCell ref="L7:O7"/>
    <mergeCell ref="Q7:T7"/>
    <mergeCell ref="V7:Y7"/>
    <mergeCell ref="AF7:AI7"/>
    <mergeCell ref="L8:O8"/>
    <mergeCell ref="Q8:T8"/>
    <mergeCell ref="V8:Y8"/>
    <mergeCell ref="AF8:AI8"/>
    <mergeCell ref="L9:O9"/>
    <mergeCell ref="Q9:T9"/>
    <mergeCell ref="V9:Y9"/>
    <mergeCell ref="AF9:AI9"/>
    <mergeCell ref="Q10:T10"/>
    <mergeCell ref="V10:Y10"/>
    <mergeCell ref="AF10:AI10"/>
    <mergeCell ref="V11:Y11"/>
    <mergeCell ref="AF11:AI11"/>
    <mergeCell ref="V12:Y12"/>
    <mergeCell ref="AF12:AI12"/>
    <mergeCell ref="V13:Y13"/>
    <mergeCell ref="AF13:AI13"/>
    <mergeCell ref="V14:Y14"/>
    <mergeCell ref="AF14:AI14"/>
    <mergeCell ref="V15:Y15"/>
    <mergeCell ref="AF15:AI15"/>
    <mergeCell ref="V16:Y16"/>
    <mergeCell ref="AF16:AI16"/>
    <mergeCell ref="V17:Y17"/>
  </mergeCells>
  <dataValidations count="1">
    <dataValidation allowBlank="true" errorStyle="stop" operator="between" showDropDown="false" showErrorMessage="true" showInputMessage="true" sqref="E8:E15 E19:E28 E32:E39 E45:E51" type="list">
      <formula1>"たいよう,みらの"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I167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A1" activeCellId="0" sqref="A1"/>
    </sheetView>
  </sheetViews>
  <sheetFormatPr defaultColWidth="8.62890625" defaultRowHeight="18" zeroHeight="false" outlineLevelRow="0" outlineLevelCol="0"/>
  <cols>
    <col collapsed="false" customWidth="true" hidden="false" outlineLevel="0" max="1" min="1" style="16" width="4.88"/>
    <col collapsed="false" customWidth="true" hidden="false" outlineLevel="0" max="2" min="2" style="16" width="13.75"/>
    <col collapsed="false" customWidth="true" hidden="false" outlineLevel="0" max="3" min="3" style="16" width="20"/>
    <col collapsed="false" customWidth="true" hidden="false" outlineLevel="0" max="20" min="4" style="16" width="15.63"/>
    <col collapsed="false" customWidth="false" hidden="false" outlineLevel="0" max="16384" min="21" style="16" width="8.63"/>
  </cols>
  <sheetData>
    <row r="1" customFormat="false" ht="33" hidden="false" customHeight="true" outlineLevel="0" collapsed="false">
      <c r="A1" s="42" t="s">
        <v>66</v>
      </c>
      <c r="B1" s="42"/>
      <c r="C1" s="42"/>
      <c r="D1" s="43" t="s">
        <v>67</v>
      </c>
      <c r="E1" s="43"/>
      <c r="F1" s="43"/>
      <c r="G1" s="43"/>
      <c r="H1" s="43"/>
    </row>
    <row r="2" customFormat="false" ht="22.5" hidden="false" customHeight="true" outlineLevel="0" collapsed="false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customFormat="false" ht="22.5" hidden="false" customHeight="true" outlineLevel="0" collapsed="false">
      <c r="A3" s="44"/>
      <c r="B3" s="44"/>
      <c r="C3" s="45" t="s">
        <v>68</v>
      </c>
      <c r="D3" s="45" t="s">
        <v>69</v>
      </c>
      <c r="E3" s="45" t="s">
        <v>70</v>
      </c>
      <c r="F3" s="45" t="s">
        <v>71</v>
      </c>
      <c r="G3" s="45" t="s">
        <v>72</v>
      </c>
      <c r="H3" s="46" t="s">
        <v>73</v>
      </c>
      <c r="I3" s="45" t="n">
        <v>202601</v>
      </c>
      <c r="J3" s="45" t="n">
        <v>202602</v>
      </c>
      <c r="K3" s="45" t="n">
        <v>202603</v>
      </c>
      <c r="L3" s="45" t="n">
        <v>202604</v>
      </c>
      <c r="M3" s="45" t="n">
        <v>202605</v>
      </c>
      <c r="N3" s="45" t="n">
        <v>202606</v>
      </c>
      <c r="O3" s="45" t="n">
        <v>202607</v>
      </c>
      <c r="P3" s="45" t="n">
        <v>202608</v>
      </c>
      <c r="Q3" s="45" t="n">
        <v>202609</v>
      </c>
      <c r="R3" s="45" t="n">
        <v>202610</v>
      </c>
      <c r="S3" s="45" t="n">
        <v>202611</v>
      </c>
      <c r="T3" s="47" t="n">
        <v>202612</v>
      </c>
    </row>
    <row r="4" customFormat="false" ht="22.5" hidden="false" customHeight="true" outlineLevel="0" collapsed="false">
      <c r="A4" s="48" t="s">
        <v>74</v>
      </c>
      <c r="B4" s="49" t="s">
        <v>75</v>
      </c>
      <c r="C4" s="50" t="s">
        <v>76</v>
      </c>
      <c r="D4" s="50"/>
      <c r="E4" s="50" t="s">
        <v>77</v>
      </c>
      <c r="F4" s="50"/>
      <c r="G4" s="50"/>
      <c r="H4" s="50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2"/>
      <c r="W4" s="53" t="s">
        <v>78</v>
      </c>
    </row>
    <row r="5" customFormat="false" ht="22.5" hidden="false" customHeight="true" outlineLevel="0" collapsed="false">
      <c r="A5" s="48"/>
      <c r="B5" s="49" t="s">
        <v>79</v>
      </c>
      <c r="C5" s="54" t="s">
        <v>80</v>
      </c>
      <c r="D5" s="54"/>
      <c r="E5" s="54" t="s">
        <v>77</v>
      </c>
      <c r="F5" s="54"/>
      <c r="G5" s="54"/>
      <c r="H5" s="54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2"/>
      <c r="W5" s="53" t="s">
        <v>81</v>
      </c>
    </row>
    <row r="6" customFormat="false" ht="22.5" hidden="false" customHeight="true" outlineLevel="0" collapsed="false">
      <c r="A6" s="48"/>
      <c r="B6" s="49"/>
      <c r="C6" s="54" t="s">
        <v>82</v>
      </c>
      <c r="D6" s="54"/>
      <c r="E6" s="54" t="s">
        <v>77</v>
      </c>
      <c r="F6" s="54"/>
      <c r="G6" s="54"/>
      <c r="H6" s="54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6"/>
      <c r="W6" s="53" t="s">
        <v>83</v>
      </c>
    </row>
    <row r="7" customFormat="false" ht="22.5" hidden="false" customHeight="true" outlineLevel="0" collapsed="false">
      <c r="A7" s="48"/>
      <c r="B7" s="49"/>
      <c r="C7" s="54" t="s">
        <v>75</v>
      </c>
      <c r="D7" s="54"/>
      <c r="E7" s="54" t="s">
        <v>77</v>
      </c>
      <c r="F7" s="54"/>
      <c r="G7" s="54"/>
      <c r="H7" s="54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6"/>
      <c r="W7" s="53" t="s">
        <v>84</v>
      </c>
    </row>
    <row r="8" customFormat="false" ht="22.5" hidden="false" customHeight="true" outlineLevel="0" collapsed="false">
      <c r="A8" s="48"/>
      <c r="B8" s="49"/>
      <c r="C8" s="54" t="s">
        <v>85</v>
      </c>
      <c r="D8" s="54"/>
      <c r="E8" s="54" t="s">
        <v>77</v>
      </c>
      <c r="F8" s="54"/>
      <c r="G8" s="54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6"/>
    </row>
    <row r="9" customFormat="false" ht="22.5" hidden="false" customHeight="true" outlineLevel="0" collapsed="false">
      <c r="A9" s="48"/>
      <c r="B9" s="49"/>
      <c r="C9" s="54" t="s">
        <v>86</v>
      </c>
      <c r="D9" s="54"/>
      <c r="E9" s="54" t="s">
        <v>77</v>
      </c>
      <c r="F9" s="54"/>
      <c r="G9" s="54"/>
      <c r="H9" s="54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6"/>
    </row>
    <row r="10" customFormat="false" ht="22.5" hidden="false" customHeight="true" outlineLevel="0" collapsed="false">
      <c r="A10" s="48"/>
      <c r="B10" s="49"/>
      <c r="C10" s="54" t="s">
        <v>87</v>
      </c>
      <c r="D10" s="54"/>
      <c r="E10" s="54" t="s">
        <v>88</v>
      </c>
      <c r="F10" s="54"/>
      <c r="G10" s="54"/>
      <c r="H10" s="54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6"/>
    </row>
    <row r="11" customFormat="false" ht="22.5" hidden="false" customHeight="true" outlineLevel="0" collapsed="false">
      <c r="A11" s="48"/>
      <c r="B11" s="49"/>
      <c r="C11" s="54" t="s">
        <v>80</v>
      </c>
      <c r="D11" s="54"/>
      <c r="E11" s="54" t="s">
        <v>88</v>
      </c>
      <c r="F11" s="54"/>
      <c r="G11" s="54"/>
      <c r="H11" s="54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6"/>
    </row>
    <row r="12" customFormat="false" ht="22.5" hidden="false" customHeight="true" outlineLevel="0" collapsed="false">
      <c r="A12" s="48"/>
      <c r="B12" s="49"/>
      <c r="C12" s="54" t="s">
        <v>82</v>
      </c>
      <c r="D12" s="54"/>
      <c r="E12" s="54" t="s">
        <v>88</v>
      </c>
      <c r="F12" s="54"/>
      <c r="G12" s="54"/>
      <c r="H12" s="54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6"/>
    </row>
    <row r="13" customFormat="false" ht="22.5" hidden="false" customHeight="true" outlineLevel="0" collapsed="false">
      <c r="A13" s="48"/>
      <c r="B13" s="49"/>
      <c r="C13" s="54" t="s">
        <v>75</v>
      </c>
      <c r="D13" s="54"/>
      <c r="E13" s="54" t="s">
        <v>88</v>
      </c>
      <c r="F13" s="54"/>
      <c r="G13" s="54"/>
      <c r="H13" s="54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6"/>
    </row>
    <row r="14" customFormat="false" ht="22.5" hidden="false" customHeight="true" outlineLevel="0" collapsed="false">
      <c r="A14" s="48"/>
      <c r="B14" s="49"/>
      <c r="C14" s="54" t="s">
        <v>85</v>
      </c>
      <c r="D14" s="54"/>
      <c r="E14" s="54" t="s">
        <v>88</v>
      </c>
      <c r="F14" s="54"/>
      <c r="G14" s="54"/>
      <c r="H14" s="54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6"/>
    </row>
    <row r="15" customFormat="false" ht="22.5" hidden="false" customHeight="true" outlineLevel="0" collapsed="false">
      <c r="A15" s="48"/>
      <c r="B15" s="57"/>
      <c r="C15" s="54" t="s">
        <v>86</v>
      </c>
      <c r="D15" s="54"/>
      <c r="E15" s="54" t="s">
        <v>88</v>
      </c>
      <c r="F15" s="54"/>
      <c r="G15" s="54"/>
      <c r="H15" s="54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6"/>
    </row>
    <row r="16" customFormat="false" ht="22.5" hidden="false" customHeight="true" outlineLevel="0" collapsed="false">
      <c r="A16" s="48"/>
      <c r="B16" s="58" t="s">
        <v>89</v>
      </c>
      <c r="C16" s="58"/>
      <c r="D16" s="58"/>
      <c r="E16" s="58"/>
      <c r="F16" s="58"/>
      <c r="G16" s="58"/>
      <c r="H16" s="58"/>
      <c r="I16" s="59" t="n">
        <f aca="false">SUMIF(E4:E15, "たいよう", I4:I15)</f>
        <v>0</v>
      </c>
      <c r="J16" s="59" t="n">
        <f aca="false">SUMIF(E4:E15, "たいよう", J4:J15)</f>
        <v>0</v>
      </c>
      <c r="K16" s="59" t="n">
        <f aca="false">SUMIF(E4:E15, "たいよう", K4:K15)</f>
        <v>0</v>
      </c>
      <c r="L16" s="59" t="n">
        <f aca="false">SUMIF(E4:E15, "たいよう", L4:L15)</f>
        <v>0</v>
      </c>
      <c r="M16" s="59" t="n">
        <f aca="false">SUMIF(E4:E15, "たいよう", M4:M15)</f>
        <v>0</v>
      </c>
      <c r="N16" s="59" t="n">
        <f aca="false">SUMIF(E4:E15, "たいよう", N4:N15)</f>
        <v>0</v>
      </c>
      <c r="O16" s="59" t="n">
        <f aca="false">SUMIF(E4:E15, "たいよう", O4:O15)</f>
        <v>0</v>
      </c>
      <c r="P16" s="59" t="n">
        <f aca="false">SUMIF(E4:E15, "たいよう", P4:P15)</f>
        <v>0</v>
      </c>
      <c r="Q16" s="59" t="n">
        <f aca="false">SUMIF(E4:E15, "たいよう", Q4:Q15)</f>
        <v>0</v>
      </c>
      <c r="R16" s="59" t="n">
        <f aca="false">SUMIF(E4:E15, "たいよう", R4:R15)</f>
        <v>0</v>
      </c>
      <c r="S16" s="59" t="n">
        <f aca="false">SUMIF(E4:E15, "たいよう", S4:S15)</f>
        <v>0</v>
      </c>
      <c r="T16" s="60" t="n">
        <f aca="false">SUMIF(E4:E15, "たいよう", T4:T15)</f>
        <v>0</v>
      </c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</row>
    <row r="17" customFormat="false" ht="22.5" hidden="false" customHeight="true" outlineLevel="0" collapsed="false">
      <c r="A17" s="48"/>
      <c r="B17" s="61" t="s">
        <v>90</v>
      </c>
      <c r="C17" s="61"/>
      <c r="D17" s="61"/>
      <c r="E17" s="61"/>
      <c r="F17" s="61"/>
      <c r="G17" s="61"/>
      <c r="H17" s="61"/>
      <c r="I17" s="59" t="n">
        <f aca="false">SUMIF(E4:E15, "みらの", I4:I15)</f>
        <v>0</v>
      </c>
      <c r="J17" s="59" t="n">
        <f aca="false">SUMIF(E4:E15, "みらの", J4:J15)</f>
        <v>0</v>
      </c>
      <c r="K17" s="59" t="n">
        <f aca="false">SUMIF(E4:E15, "みらの", K4:K15)</f>
        <v>0</v>
      </c>
      <c r="L17" s="59" t="n">
        <f aca="false">SUMIF(E4:E15, "みらの", L4:L15)</f>
        <v>0</v>
      </c>
      <c r="M17" s="59" t="n">
        <f aca="false">SUMIF(E4:E15, "みらの", M4:M15)</f>
        <v>0</v>
      </c>
      <c r="N17" s="59" t="n">
        <f aca="false">SUMIF(E4:E15, "みらの", N4:N15)</f>
        <v>0</v>
      </c>
      <c r="O17" s="59" t="n">
        <f aca="false">SUMIF(E4:E15, "みらの", O4:O15)</f>
        <v>0</v>
      </c>
      <c r="P17" s="59" t="n">
        <f aca="false">SUMIF(E4:E15, "みらの", P4:P15)</f>
        <v>0</v>
      </c>
      <c r="Q17" s="59" t="n">
        <f aca="false">SUMIF(E4:E15, "みらの", Q4:Q15)</f>
        <v>0</v>
      </c>
      <c r="R17" s="59" t="n">
        <f aca="false">SUMIF(E4:E15, "みらの", R4:R15)</f>
        <v>0</v>
      </c>
      <c r="S17" s="59" t="n">
        <f aca="false">SUMIF(E4:E15, "みらの", S4:S15)</f>
        <v>0</v>
      </c>
      <c r="T17" s="60" t="n">
        <f aca="false">SUMIF(E4:E15, "みらの", T4:T15)</f>
        <v>0</v>
      </c>
    </row>
    <row r="18" customFormat="false" ht="22.5" hidden="false" customHeight="true" outlineLevel="0" collapsed="false">
      <c r="A18" s="48"/>
      <c r="B18" s="62" t="s">
        <v>91</v>
      </c>
      <c r="C18" s="62"/>
      <c r="D18" s="62"/>
      <c r="E18" s="62"/>
      <c r="F18" s="62"/>
      <c r="G18" s="62"/>
      <c r="H18" s="62"/>
      <c r="I18" s="63" t="n">
        <f aca="false">SUM(I16:I17)</f>
        <v>0</v>
      </c>
      <c r="J18" s="63" t="n">
        <f aca="false">SUM(J16:J17)</f>
        <v>0</v>
      </c>
      <c r="K18" s="63" t="n">
        <f aca="false">SUM(K16:K17)</f>
        <v>0</v>
      </c>
      <c r="L18" s="63" t="n">
        <f aca="false">SUM(L16:L17)</f>
        <v>0</v>
      </c>
      <c r="M18" s="63" t="n">
        <f aca="false">SUM(M16:M17)</f>
        <v>0</v>
      </c>
      <c r="N18" s="63" t="n">
        <f aca="false">SUM(N16:N17)</f>
        <v>0</v>
      </c>
      <c r="O18" s="63" t="n">
        <f aca="false">SUM(O16:O17)</f>
        <v>0</v>
      </c>
      <c r="P18" s="63" t="n">
        <f aca="false">SUM(P16:P17)</f>
        <v>0</v>
      </c>
      <c r="Q18" s="63" t="n">
        <f aca="false">SUM(Q16:Q17)</f>
        <v>0</v>
      </c>
      <c r="R18" s="63" t="n">
        <f aca="false">SUM(R16:R17)</f>
        <v>0</v>
      </c>
      <c r="S18" s="63" t="n">
        <f aca="false">SUM(S16:S17)</f>
        <v>0</v>
      </c>
      <c r="T18" s="64" t="n">
        <f aca="false">SUM(T16:T17)</f>
        <v>0</v>
      </c>
    </row>
    <row r="19" customFormat="false" ht="22.5" hidden="false" customHeight="true" outlineLevel="0" collapsed="false">
      <c r="A19" s="48"/>
      <c r="B19" s="49" t="s">
        <v>92</v>
      </c>
      <c r="C19" s="65" t="s">
        <v>93</v>
      </c>
      <c r="D19" s="65"/>
      <c r="E19" s="50" t="s">
        <v>77</v>
      </c>
      <c r="F19" s="65"/>
      <c r="G19" s="65"/>
      <c r="H19" s="65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2"/>
    </row>
    <row r="20" customFormat="false" ht="22.5" hidden="false" customHeight="true" outlineLevel="0" collapsed="false">
      <c r="A20" s="48"/>
      <c r="B20" s="49" t="s">
        <v>94</v>
      </c>
      <c r="C20" s="66" t="s">
        <v>93</v>
      </c>
      <c r="D20" s="66"/>
      <c r="E20" s="54" t="s">
        <v>88</v>
      </c>
      <c r="F20" s="66"/>
      <c r="G20" s="66"/>
      <c r="H20" s="66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2"/>
    </row>
    <row r="21" customFormat="false" ht="22.5" hidden="false" customHeight="true" outlineLevel="0" collapsed="false">
      <c r="A21" s="48"/>
      <c r="B21" s="49"/>
      <c r="C21" s="66"/>
      <c r="D21" s="66"/>
      <c r="E21" s="54"/>
      <c r="F21" s="66"/>
      <c r="G21" s="66"/>
      <c r="H21" s="66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6"/>
    </row>
    <row r="22" customFormat="false" ht="22.5" hidden="false" customHeight="true" outlineLevel="0" collapsed="false">
      <c r="A22" s="48"/>
      <c r="B22" s="49"/>
      <c r="C22" s="66"/>
      <c r="D22" s="66"/>
      <c r="E22" s="54"/>
      <c r="F22" s="66"/>
      <c r="G22" s="66"/>
      <c r="H22" s="66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6"/>
    </row>
    <row r="23" customFormat="false" ht="22.5" hidden="false" customHeight="true" outlineLevel="0" collapsed="false">
      <c r="A23" s="48"/>
      <c r="B23" s="49"/>
      <c r="C23" s="66"/>
      <c r="D23" s="66"/>
      <c r="E23" s="54"/>
      <c r="F23" s="66"/>
      <c r="G23" s="66"/>
      <c r="H23" s="66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6"/>
    </row>
    <row r="24" customFormat="false" ht="22.5" hidden="false" customHeight="true" outlineLevel="0" collapsed="false">
      <c r="A24" s="48"/>
      <c r="B24" s="49"/>
      <c r="C24" s="66"/>
      <c r="D24" s="66"/>
      <c r="E24" s="54"/>
      <c r="F24" s="66"/>
      <c r="G24" s="66"/>
      <c r="H24" s="66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6"/>
    </row>
    <row r="25" customFormat="false" ht="22.5" hidden="false" customHeight="true" outlineLevel="0" collapsed="false">
      <c r="A25" s="48"/>
      <c r="B25" s="49"/>
      <c r="C25" s="66"/>
      <c r="D25" s="66"/>
      <c r="E25" s="54"/>
      <c r="F25" s="66"/>
      <c r="G25" s="66"/>
      <c r="H25" s="66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6"/>
    </row>
    <row r="26" customFormat="false" ht="22.5" hidden="false" customHeight="true" outlineLevel="0" collapsed="false">
      <c r="A26" s="48"/>
      <c r="B26" s="49"/>
      <c r="C26" s="66"/>
      <c r="D26" s="66"/>
      <c r="E26" s="54"/>
      <c r="F26" s="66"/>
      <c r="G26" s="66"/>
      <c r="H26" s="66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6"/>
    </row>
    <row r="27" customFormat="false" ht="22.5" hidden="false" customHeight="true" outlineLevel="0" collapsed="false">
      <c r="A27" s="48"/>
      <c r="B27" s="49"/>
      <c r="C27" s="66"/>
      <c r="D27" s="66"/>
      <c r="E27" s="54"/>
      <c r="F27" s="66"/>
      <c r="G27" s="66"/>
      <c r="H27" s="66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6"/>
    </row>
    <row r="28" customFormat="false" ht="22.5" hidden="false" customHeight="true" outlineLevel="0" collapsed="false">
      <c r="A28" s="48"/>
      <c r="B28" s="57"/>
      <c r="C28" s="66"/>
      <c r="D28" s="66"/>
      <c r="E28" s="54"/>
      <c r="F28" s="66"/>
      <c r="G28" s="66"/>
      <c r="H28" s="66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6"/>
    </row>
    <row r="29" customFormat="false" ht="22.5" hidden="false" customHeight="true" outlineLevel="0" collapsed="false">
      <c r="A29" s="48"/>
      <c r="B29" s="58" t="s">
        <v>89</v>
      </c>
      <c r="C29" s="58"/>
      <c r="D29" s="58"/>
      <c r="E29" s="58"/>
      <c r="F29" s="58"/>
      <c r="G29" s="58"/>
      <c r="H29" s="58"/>
      <c r="I29" s="59" t="n">
        <f aca="false">SUMIF(E19:E28, "たいよう", I19:I28)</f>
        <v>0</v>
      </c>
      <c r="J29" s="59" t="n">
        <f aca="false">SUMIF(E19:E28, "たいよう", J19:J28)</f>
        <v>0</v>
      </c>
      <c r="K29" s="59" t="n">
        <f aca="false">SUMIF(E19:E28, "たいよう", K19:K28)</f>
        <v>0</v>
      </c>
      <c r="L29" s="59" t="n">
        <f aca="false">SUMIF(E19:E28, "たいよう", L19:L28)</f>
        <v>0</v>
      </c>
      <c r="M29" s="59" t="n">
        <f aca="false">SUMIF(E19:E28, "たいよう", M19:M28)</f>
        <v>0</v>
      </c>
      <c r="N29" s="59" t="n">
        <f aca="false">SUMIF(E19:E28, "たいよう", N19:N28)</f>
        <v>0</v>
      </c>
      <c r="O29" s="59" t="n">
        <f aca="false">SUMIF(E19:E28, "たいよう", O19:O28)</f>
        <v>0</v>
      </c>
      <c r="P29" s="59" t="n">
        <f aca="false">SUMIF(E19:E28, "たいよう", P19:P28)</f>
        <v>0</v>
      </c>
      <c r="Q29" s="59" t="n">
        <f aca="false">SUMIF(E19:E28, "たいよう", Q19:Q28)</f>
        <v>0</v>
      </c>
      <c r="R29" s="59" t="n">
        <f aca="false">SUMIF(E19:E28, "たいよう", R19:R28)</f>
        <v>0</v>
      </c>
      <c r="S29" s="59" t="n">
        <f aca="false">SUMIF(E19:E28, "たいよう", S19:S28)</f>
        <v>0</v>
      </c>
      <c r="T29" s="60" t="n">
        <f aca="false">SUMIF(E19:E28, "たいよう", T19:T28)</f>
        <v>0</v>
      </c>
    </row>
    <row r="30" customFormat="false" ht="22.5" hidden="false" customHeight="true" outlineLevel="0" collapsed="false">
      <c r="A30" s="48"/>
      <c r="B30" s="67" t="s">
        <v>90</v>
      </c>
      <c r="C30" s="67"/>
      <c r="D30" s="67"/>
      <c r="E30" s="67"/>
      <c r="F30" s="67"/>
      <c r="G30" s="67"/>
      <c r="H30" s="67"/>
      <c r="I30" s="59" t="n">
        <f aca="false">SUMIF(E19:E28, "みらの", I19:I28)</f>
        <v>0</v>
      </c>
      <c r="J30" s="59" t="n">
        <f aca="false">SUMIF(E19:E28, "みらの", J19:J28)</f>
        <v>0</v>
      </c>
      <c r="K30" s="59" t="n">
        <f aca="false">SUMIF(E19:E28, "みらの", K19:K28)</f>
        <v>0</v>
      </c>
      <c r="L30" s="59" t="n">
        <f aca="false">SUMIF(E19:E28, "みらの", L19:L28)</f>
        <v>0</v>
      </c>
      <c r="M30" s="59" t="n">
        <f aca="false">SUMIF(E19:E28, "みらの", M19:M28)</f>
        <v>0</v>
      </c>
      <c r="N30" s="59" t="n">
        <f aca="false">SUMIF(E19:E28, "みらの", N19:N28)</f>
        <v>0</v>
      </c>
      <c r="O30" s="59" t="n">
        <f aca="false">SUMIF(E19:E28, "みらの", O19:O28)</f>
        <v>0</v>
      </c>
      <c r="P30" s="59" t="n">
        <f aca="false">SUMIF(E19:E28, "みらの", P19:P28)</f>
        <v>0</v>
      </c>
      <c r="Q30" s="59" t="n">
        <f aca="false">SUMIF(E19:E28, "みらの", Q19:Q28)</f>
        <v>0</v>
      </c>
      <c r="R30" s="59" t="n">
        <f aca="false">SUMIF(E19:E28, "みらの", R19:R28)</f>
        <v>0</v>
      </c>
      <c r="S30" s="59" t="n">
        <f aca="false">SUMIF(E19:E28, "みらの", S19:S28)</f>
        <v>0</v>
      </c>
      <c r="T30" s="60" t="n">
        <f aca="false">SUMIF(E19:E28, "みらの", T19:T28)</f>
        <v>0</v>
      </c>
    </row>
    <row r="31" customFormat="false" ht="22.5" hidden="false" customHeight="true" outlineLevel="0" collapsed="false">
      <c r="A31" s="48"/>
      <c r="B31" s="62" t="s">
        <v>91</v>
      </c>
      <c r="C31" s="62"/>
      <c r="D31" s="62"/>
      <c r="E31" s="62"/>
      <c r="F31" s="62"/>
      <c r="G31" s="62"/>
      <c r="H31" s="62"/>
      <c r="I31" s="63" t="n">
        <f aca="false">SUM(I29:I30)</f>
        <v>0</v>
      </c>
      <c r="J31" s="63" t="n">
        <f aca="false">SUM(J29:J30)</f>
        <v>0</v>
      </c>
      <c r="K31" s="63" t="n">
        <f aca="false">SUM(K29:K30)</f>
        <v>0</v>
      </c>
      <c r="L31" s="63" t="n">
        <f aca="false">SUM(L29:L30)</f>
        <v>0</v>
      </c>
      <c r="M31" s="63" t="n">
        <f aca="false">SUM(M29:M30)</f>
        <v>0</v>
      </c>
      <c r="N31" s="63" t="n">
        <f aca="false">SUM(N29:N30)</f>
        <v>0</v>
      </c>
      <c r="O31" s="63" t="n">
        <f aca="false">SUM(O29:O30)</f>
        <v>0</v>
      </c>
      <c r="P31" s="63" t="n">
        <f aca="false">SUM(P29:P30)</f>
        <v>0</v>
      </c>
      <c r="Q31" s="63" t="n">
        <f aca="false">SUM(Q29:Q30)</f>
        <v>0</v>
      </c>
      <c r="R31" s="63" t="n">
        <f aca="false">SUM(R29:R30)</f>
        <v>0</v>
      </c>
      <c r="S31" s="63" t="n">
        <f aca="false">SUM(S29:S30)</f>
        <v>0</v>
      </c>
      <c r="T31" s="64" t="n">
        <f aca="false">SUM(T29:T30)</f>
        <v>0</v>
      </c>
    </row>
    <row r="32" customFormat="false" ht="22.5" hidden="false" customHeight="true" outlineLevel="0" collapsed="false">
      <c r="A32" s="48"/>
      <c r="B32" s="49" t="s">
        <v>83</v>
      </c>
      <c r="C32" s="65"/>
      <c r="D32" s="65"/>
      <c r="E32" s="50"/>
      <c r="F32" s="65"/>
      <c r="G32" s="65"/>
      <c r="H32" s="65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2"/>
    </row>
    <row r="33" customFormat="false" ht="22.5" hidden="false" customHeight="true" outlineLevel="0" collapsed="false">
      <c r="A33" s="48"/>
      <c r="B33" s="49"/>
      <c r="C33" s="66"/>
      <c r="D33" s="66"/>
      <c r="E33" s="54"/>
      <c r="F33" s="66"/>
      <c r="G33" s="66"/>
      <c r="H33" s="66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2"/>
    </row>
    <row r="34" customFormat="false" ht="22.5" hidden="false" customHeight="true" outlineLevel="0" collapsed="false">
      <c r="A34" s="48"/>
      <c r="B34" s="49"/>
      <c r="C34" s="66"/>
      <c r="D34" s="66"/>
      <c r="E34" s="54"/>
      <c r="F34" s="66"/>
      <c r="G34" s="66"/>
      <c r="H34" s="66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6"/>
    </row>
    <row r="35" customFormat="false" ht="22.5" hidden="false" customHeight="true" outlineLevel="0" collapsed="false">
      <c r="A35" s="48"/>
      <c r="B35" s="49"/>
      <c r="C35" s="66"/>
      <c r="D35" s="66"/>
      <c r="E35" s="54"/>
      <c r="F35" s="66"/>
      <c r="G35" s="66"/>
      <c r="H35" s="66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6"/>
    </row>
    <row r="36" customFormat="false" ht="22.5" hidden="false" customHeight="true" outlineLevel="0" collapsed="false">
      <c r="A36" s="48"/>
      <c r="B36" s="49"/>
      <c r="C36" s="66"/>
      <c r="D36" s="66"/>
      <c r="E36" s="54"/>
      <c r="F36" s="66"/>
      <c r="G36" s="66"/>
      <c r="H36" s="66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6"/>
    </row>
    <row r="37" customFormat="false" ht="22.5" hidden="false" customHeight="true" outlineLevel="0" collapsed="false">
      <c r="A37" s="48"/>
      <c r="B37" s="49"/>
      <c r="C37" s="66"/>
      <c r="D37" s="66"/>
      <c r="E37" s="54"/>
      <c r="F37" s="66"/>
      <c r="G37" s="66"/>
      <c r="H37" s="66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6"/>
    </row>
    <row r="38" customFormat="false" ht="22.5" hidden="false" customHeight="true" outlineLevel="0" collapsed="false">
      <c r="A38" s="48"/>
      <c r="B38" s="49"/>
      <c r="C38" s="66"/>
      <c r="D38" s="66"/>
      <c r="E38" s="54"/>
      <c r="F38" s="66"/>
      <c r="G38" s="66"/>
      <c r="H38" s="66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6"/>
    </row>
    <row r="39" customFormat="false" ht="22.5" hidden="false" customHeight="true" outlineLevel="0" collapsed="false">
      <c r="A39" s="48"/>
      <c r="B39" s="57"/>
      <c r="C39" s="66"/>
      <c r="D39" s="66"/>
      <c r="E39" s="54"/>
      <c r="F39" s="66"/>
      <c r="G39" s="66"/>
      <c r="H39" s="66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6"/>
    </row>
    <row r="40" customFormat="false" ht="22.5" hidden="false" customHeight="true" outlineLevel="0" collapsed="false">
      <c r="A40" s="48"/>
      <c r="B40" s="58" t="s">
        <v>89</v>
      </c>
      <c r="C40" s="58"/>
      <c r="D40" s="58"/>
      <c r="E40" s="58"/>
      <c r="F40" s="58"/>
      <c r="G40" s="58"/>
      <c r="H40" s="58"/>
      <c r="I40" s="59" t="n">
        <f aca="false">SUMIF(E32:E39, "たいよう", I32:I39)</f>
        <v>0</v>
      </c>
      <c r="J40" s="59" t="n">
        <f aca="false">SUMIF(E32:E39, "たいよう", J32:J39)</f>
        <v>0</v>
      </c>
      <c r="K40" s="59" t="n">
        <f aca="false">SUMIF(E32:E39, "たいよう", K32:K39)</f>
        <v>0</v>
      </c>
      <c r="L40" s="59" t="n">
        <f aca="false">SUMIF(E32:E39, "たいよう", L32:L39)</f>
        <v>0</v>
      </c>
      <c r="M40" s="59" t="n">
        <f aca="false">SUMIF(E32:E39, "たいよう", M32:M39)</f>
        <v>0</v>
      </c>
      <c r="N40" s="59" t="n">
        <f aca="false">SUMIF(E32:E39, "たいよう", N32:N39)</f>
        <v>0</v>
      </c>
      <c r="O40" s="59" t="n">
        <f aca="false">SUMIF(E32:E39, "たいよう", O32:O39)</f>
        <v>0</v>
      </c>
      <c r="P40" s="59" t="n">
        <f aca="false">SUMIF(E32:E39, "たいよう", P32:P39)</f>
        <v>0</v>
      </c>
      <c r="Q40" s="59" t="n">
        <f aca="false">SUMIF(E32:E39, "たいよう", Q32:Q39)</f>
        <v>0</v>
      </c>
      <c r="R40" s="59" t="n">
        <f aca="false">SUMIF(E32:E39, "たいよう", R32:R39)</f>
        <v>0</v>
      </c>
      <c r="S40" s="59" t="n">
        <f aca="false">SUMIF(E32:E39, "たいよう", S32:S39)</f>
        <v>0</v>
      </c>
      <c r="T40" s="60" t="n">
        <f aca="false">SUMIF(E32:E39, "たいよう", T32:T39)</f>
        <v>0</v>
      </c>
    </row>
    <row r="41" customFormat="false" ht="22.5" hidden="false" customHeight="true" outlineLevel="0" collapsed="false">
      <c r="A41" s="48"/>
      <c r="B41" s="67" t="s">
        <v>90</v>
      </c>
      <c r="C41" s="67"/>
      <c r="D41" s="67"/>
      <c r="E41" s="67"/>
      <c r="F41" s="67"/>
      <c r="G41" s="67"/>
      <c r="H41" s="67"/>
      <c r="I41" s="59" t="n">
        <f aca="false">SUMIF(E32:E39, "みらの", I32:I39)</f>
        <v>0</v>
      </c>
      <c r="J41" s="59" t="n">
        <f aca="false">SUMIF(E32:E39, "みらの", J32:J39)</f>
        <v>0</v>
      </c>
      <c r="K41" s="59" t="n">
        <f aca="false">SUMIF(E32:E39, "みらの", K32:K39)</f>
        <v>0</v>
      </c>
      <c r="L41" s="59" t="n">
        <f aca="false">SUMIF(E32:E39, "みらの", L32:L39)</f>
        <v>0</v>
      </c>
      <c r="M41" s="59" t="n">
        <f aca="false">SUMIF(E32:E39, "みらの", M32:M39)</f>
        <v>0</v>
      </c>
      <c r="N41" s="59" t="n">
        <f aca="false">SUMIF(E32:E39, "みらの", N32:N39)</f>
        <v>0</v>
      </c>
      <c r="O41" s="59" t="n">
        <f aca="false">SUMIF(E32:E39, "みらの", O32:O39)</f>
        <v>0</v>
      </c>
      <c r="P41" s="59" t="n">
        <f aca="false">SUMIF(E32:E39, "みらの", P32:P39)</f>
        <v>0</v>
      </c>
      <c r="Q41" s="59" t="n">
        <f aca="false">SUMIF(E32:E39, "みらの", Q32:Q39)</f>
        <v>0</v>
      </c>
      <c r="R41" s="59" t="n">
        <f aca="false">SUMIF(E32:E39, "みらの", R32:R39)</f>
        <v>0</v>
      </c>
      <c r="S41" s="59" t="n">
        <f aca="false">SUMIF(E32:E39, "みらの", S32:S39)</f>
        <v>0</v>
      </c>
      <c r="T41" s="60" t="n">
        <f aca="false">SUMIF(E32:E39, "みらの", T32:T39)</f>
        <v>0</v>
      </c>
    </row>
    <row r="42" customFormat="false" ht="22.5" hidden="false" customHeight="true" outlineLevel="0" collapsed="false">
      <c r="A42" s="48"/>
      <c r="B42" s="62" t="s">
        <v>91</v>
      </c>
      <c r="C42" s="62"/>
      <c r="D42" s="62"/>
      <c r="E42" s="62"/>
      <c r="F42" s="62"/>
      <c r="G42" s="62"/>
      <c r="H42" s="62"/>
      <c r="I42" s="63" t="n">
        <f aca="false">SUM(I40:I41)</f>
        <v>0</v>
      </c>
      <c r="J42" s="63" t="n">
        <f aca="false">SUM(J40:J41)</f>
        <v>0</v>
      </c>
      <c r="K42" s="63" t="n">
        <f aca="false">SUM(K40:K41)</f>
        <v>0</v>
      </c>
      <c r="L42" s="63" t="n">
        <f aca="false">SUM(L40:L41)</f>
        <v>0</v>
      </c>
      <c r="M42" s="63" t="n">
        <f aca="false">SUM(M40:M41)</f>
        <v>0</v>
      </c>
      <c r="N42" s="63" t="n">
        <f aca="false">SUM(N40:N41)</f>
        <v>0</v>
      </c>
      <c r="O42" s="63" t="n">
        <f aca="false">SUM(O40:O41)</f>
        <v>0</v>
      </c>
      <c r="P42" s="63" t="n">
        <f aca="false">SUM(P40:P41)</f>
        <v>0</v>
      </c>
      <c r="Q42" s="63" t="n">
        <f aca="false">SUM(Q40:Q41)</f>
        <v>0</v>
      </c>
      <c r="R42" s="63" t="n">
        <f aca="false">SUM(R40:R41)</f>
        <v>0</v>
      </c>
      <c r="S42" s="63" t="n">
        <f aca="false">SUM(S40:S41)</f>
        <v>0</v>
      </c>
      <c r="T42" s="64" t="n">
        <f aca="false">SUM(T40:T41)</f>
        <v>0</v>
      </c>
    </row>
    <row r="43" customFormat="false" ht="22.5" hidden="false" customHeight="true" outlineLevel="0" collapsed="false">
      <c r="A43" s="48"/>
      <c r="B43" s="68" t="s">
        <v>89</v>
      </c>
      <c r="C43" s="68"/>
      <c r="D43" s="68"/>
      <c r="E43" s="68"/>
      <c r="F43" s="68"/>
      <c r="G43" s="68"/>
      <c r="H43" s="68"/>
      <c r="I43" s="69" t="n">
        <f aca="false">I16+I29+I40</f>
        <v>0</v>
      </c>
      <c r="J43" s="69" t="n">
        <f aca="false">J16+J29+J40</f>
        <v>0</v>
      </c>
      <c r="K43" s="69" t="n">
        <f aca="false">K16+K29+K40</f>
        <v>0</v>
      </c>
      <c r="L43" s="69" t="n">
        <f aca="false">L16+L29+L40</f>
        <v>0</v>
      </c>
      <c r="M43" s="69" t="n">
        <f aca="false">M16+M29+M40</f>
        <v>0</v>
      </c>
      <c r="N43" s="69" t="n">
        <f aca="false">N16+N29+N40</f>
        <v>0</v>
      </c>
      <c r="O43" s="69" t="n">
        <f aca="false">O16+O29+O40</f>
        <v>0</v>
      </c>
      <c r="P43" s="69" t="n">
        <f aca="false">P16+P29+P40</f>
        <v>0</v>
      </c>
      <c r="Q43" s="69" t="n">
        <f aca="false">Q16+Q29+Q40</f>
        <v>0</v>
      </c>
      <c r="R43" s="69" t="n">
        <f aca="false">R16+R29+R40</f>
        <v>0</v>
      </c>
      <c r="S43" s="69" t="n">
        <f aca="false">S16+S29+S40</f>
        <v>0</v>
      </c>
      <c r="T43" s="70" t="n">
        <f aca="false">T16+T29+T40</f>
        <v>0</v>
      </c>
    </row>
    <row r="44" customFormat="false" ht="22.5" hidden="false" customHeight="true" outlineLevel="0" collapsed="false">
      <c r="A44" s="48"/>
      <c r="B44" s="71" t="s">
        <v>90</v>
      </c>
      <c r="C44" s="71"/>
      <c r="D44" s="71"/>
      <c r="E44" s="71"/>
      <c r="F44" s="71"/>
      <c r="G44" s="71"/>
      <c r="H44" s="71"/>
      <c r="I44" s="72" t="n">
        <f aca="false">I17+I30+I41</f>
        <v>0</v>
      </c>
      <c r="J44" s="72" t="n">
        <f aca="false">J17+J30+J41</f>
        <v>0</v>
      </c>
      <c r="K44" s="72" t="n">
        <f aca="false">K17+K30+K41</f>
        <v>0</v>
      </c>
      <c r="L44" s="72" t="n">
        <f aca="false">L17+L30+L41</f>
        <v>0</v>
      </c>
      <c r="M44" s="72" t="n">
        <f aca="false">M17+M30+M41</f>
        <v>0</v>
      </c>
      <c r="N44" s="72" t="n">
        <f aca="false">N17+N30+N41</f>
        <v>0</v>
      </c>
      <c r="O44" s="72" t="n">
        <f aca="false">O17+O30+O41</f>
        <v>0</v>
      </c>
      <c r="P44" s="72" t="n">
        <f aca="false">P17+P30+P41</f>
        <v>0</v>
      </c>
      <c r="Q44" s="72" t="n">
        <f aca="false">Q17+Q30+Q41</f>
        <v>0</v>
      </c>
      <c r="R44" s="72" t="n">
        <f aca="false">R17+R30+R41</f>
        <v>0</v>
      </c>
      <c r="S44" s="72" t="n">
        <f aca="false">S17+S30+S41</f>
        <v>0</v>
      </c>
      <c r="T44" s="73" t="n">
        <f aca="false">T17+T30+T41</f>
        <v>0</v>
      </c>
    </row>
    <row r="45" customFormat="false" ht="22.5" hidden="false" customHeight="true" outlineLevel="0" collapsed="false">
      <c r="A45" s="48"/>
      <c r="B45" s="74" t="s">
        <v>95</v>
      </c>
      <c r="C45" s="74"/>
      <c r="D45" s="74"/>
      <c r="E45" s="74"/>
      <c r="F45" s="74"/>
      <c r="G45" s="74"/>
      <c r="H45" s="74"/>
      <c r="I45" s="75" t="n">
        <f aca="false">SUM(I43:I44)</f>
        <v>0</v>
      </c>
      <c r="J45" s="75" t="n">
        <f aca="false">SUM(J43:J44)</f>
        <v>0</v>
      </c>
      <c r="K45" s="75" t="n">
        <f aca="false">SUM(K43:K44)</f>
        <v>0</v>
      </c>
      <c r="L45" s="75" t="n">
        <f aca="false">SUM(L43:L44)</f>
        <v>0</v>
      </c>
      <c r="M45" s="75" t="n">
        <f aca="false">SUM(M43:M44)</f>
        <v>0</v>
      </c>
      <c r="N45" s="75" t="n">
        <f aca="false">SUM(N43:N44)</f>
        <v>0</v>
      </c>
      <c r="O45" s="75" t="n">
        <f aca="false">SUM(O43:O44)</f>
        <v>0</v>
      </c>
      <c r="P45" s="75" t="n">
        <f aca="false">SUM(P43:P44)</f>
        <v>0</v>
      </c>
      <c r="Q45" s="75" t="n">
        <f aca="false">SUM(Q43:Q44)</f>
        <v>0</v>
      </c>
      <c r="R45" s="75" t="n">
        <f aca="false">SUM(R43:R44)</f>
        <v>0</v>
      </c>
      <c r="S45" s="75" t="n">
        <f aca="false">SUM(S43:S44)</f>
        <v>0</v>
      </c>
      <c r="T45" s="75" t="n">
        <f aca="false">SUM(T43:T44)</f>
        <v>0</v>
      </c>
    </row>
    <row r="46" customFormat="false" ht="22.5" hidden="false" customHeight="true" outlineLevel="0" collapsed="false">
      <c r="A46" s="76" t="s">
        <v>96</v>
      </c>
      <c r="B46" s="77" t="s">
        <v>96</v>
      </c>
      <c r="C46" s="78"/>
      <c r="D46" s="78"/>
      <c r="E46" s="78"/>
      <c r="F46" s="78"/>
      <c r="G46" s="78"/>
      <c r="H46" s="78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2"/>
    </row>
    <row r="47" customFormat="false" ht="22.5" hidden="false" customHeight="true" outlineLevel="0" collapsed="false">
      <c r="A47" s="76"/>
      <c r="B47" s="77"/>
      <c r="C47" s="66"/>
      <c r="D47" s="66"/>
      <c r="E47" s="54"/>
      <c r="F47" s="66"/>
      <c r="G47" s="66"/>
      <c r="H47" s="66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6"/>
    </row>
    <row r="48" customFormat="false" ht="22.5" hidden="false" customHeight="true" outlineLevel="0" collapsed="false">
      <c r="A48" s="76"/>
      <c r="B48" s="77"/>
      <c r="C48" s="66"/>
      <c r="D48" s="66"/>
      <c r="E48" s="54"/>
      <c r="F48" s="66"/>
      <c r="G48" s="66"/>
      <c r="H48" s="66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6"/>
    </row>
    <row r="49" customFormat="false" ht="22.5" hidden="false" customHeight="true" outlineLevel="0" collapsed="false">
      <c r="A49" s="76"/>
      <c r="B49" s="77"/>
      <c r="C49" s="66"/>
      <c r="D49" s="66"/>
      <c r="E49" s="54"/>
      <c r="F49" s="66"/>
      <c r="G49" s="66"/>
      <c r="H49" s="66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6"/>
    </row>
    <row r="50" customFormat="false" ht="22.5" hidden="false" customHeight="true" outlineLevel="0" collapsed="false">
      <c r="A50" s="76"/>
      <c r="B50" s="77"/>
      <c r="C50" s="66"/>
      <c r="D50" s="66"/>
      <c r="E50" s="54"/>
      <c r="F50" s="66"/>
      <c r="G50" s="66"/>
      <c r="H50" s="66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6"/>
    </row>
    <row r="51" customFormat="false" ht="22.5" hidden="false" customHeight="true" outlineLevel="0" collapsed="false">
      <c r="A51" s="76"/>
      <c r="B51" s="77"/>
      <c r="C51" s="66"/>
      <c r="D51" s="66"/>
      <c r="E51" s="54"/>
      <c r="F51" s="66"/>
      <c r="G51" s="66"/>
      <c r="H51" s="66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6"/>
    </row>
    <row r="52" customFormat="false" ht="22.5" hidden="false" customHeight="true" outlineLevel="0" collapsed="false">
      <c r="A52" s="76"/>
      <c r="B52" s="77"/>
      <c r="C52" s="66"/>
      <c r="D52" s="66"/>
      <c r="E52" s="54"/>
      <c r="F52" s="66"/>
      <c r="G52" s="66"/>
      <c r="H52" s="66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6"/>
    </row>
    <row r="53" customFormat="false" ht="22.5" hidden="false" customHeight="true" outlineLevel="0" collapsed="false">
      <c r="A53" s="76"/>
      <c r="B53" s="71" t="s">
        <v>89</v>
      </c>
      <c r="C53" s="71"/>
      <c r="D53" s="71"/>
      <c r="E53" s="71"/>
      <c r="F53" s="71"/>
      <c r="G53" s="71"/>
      <c r="H53" s="71"/>
      <c r="I53" s="72" t="n">
        <f aca="false">SUMIF(E46:E52, "たいよう", I46:I52)</f>
        <v>0</v>
      </c>
      <c r="J53" s="72" t="n">
        <f aca="false">SUMIF(E46:E52, "たいよう", J46:J52)</f>
        <v>0</v>
      </c>
      <c r="K53" s="72" t="n">
        <f aca="false">SUMIF(E46:E52, "たいよう", K46:K52)</f>
        <v>0</v>
      </c>
      <c r="L53" s="72" t="n">
        <f aca="false">SUMIF(E46:E52, "たいよう", L46:L52)</f>
        <v>0</v>
      </c>
      <c r="M53" s="72" t="n">
        <f aca="false">SUMIF(E46:E52, "たいよう", M46:M52)</f>
        <v>0</v>
      </c>
      <c r="N53" s="72" t="n">
        <f aca="false">SUMIF(E46:E52, "たいよう", N46:N52)</f>
        <v>0</v>
      </c>
      <c r="O53" s="72" t="n">
        <f aca="false">SUMIF(E46:E52, "たいよう", O46:O52)</f>
        <v>0</v>
      </c>
      <c r="P53" s="72" t="n">
        <f aca="false">SUMIF(E46:E52, "たいよう", P46:P52)</f>
        <v>0</v>
      </c>
      <c r="Q53" s="72" t="n">
        <f aca="false">SUMIF(E46:E52, "たいよう", Q46:Q52)</f>
        <v>0</v>
      </c>
      <c r="R53" s="72" t="n">
        <f aca="false">SUMIF(E46:E52, "たいよう", R46:R52)</f>
        <v>0</v>
      </c>
      <c r="S53" s="72" t="n">
        <f aca="false">SUMIF(E46:E52, "たいよう", S46:S52)</f>
        <v>0</v>
      </c>
      <c r="T53" s="73" t="n">
        <f aca="false">SUMIF(E46:E52, "たいよう", T46:T52)</f>
        <v>0</v>
      </c>
    </row>
    <row r="54" customFormat="false" ht="22.5" hidden="false" customHeight="true" outlineLevel="0" collapsed="false">
      <c r="A54" s="76"/>
      <c r="B54" s="71" t="s">
        <v>90</v>
      </c>
      <c r="C54" s="71"/>
      <c r="D54" s="71"/>
      <c r="E54" s="71"/>
      <c r="F54" s="71"/>
      <c r="G54" s="71"/>
      <c r="H54" s="71"/>
      <c r="I54" s="79" t="n">
        <f aca="false">SUMIF(E46:E52, "みらの", I46:I52)</f>
        <v>0</v>
      </c>
      <c r="J54" s="79" t="n">
        <f aca="false">SUMIF(E46:E52, "みらの", J46:J52)</f>
        <v>0</v>
      </c>
      <c r="K54" s="79" t="n">
        <f aca="false">SUMIF(E46:E52, "みらの", K46:K52)</f>
        <v>0</v>
      </c>
      <c r="L54" s="79" t="n">
        <f aca="false">SUMIF(E46:E52, "みらの", L46:L52)</f>
        <v>0</v>
      </c>
      <c r="M54" s="79" t="n">
        <f aca="false">SUMIF(E46:E52, "みらの", M46:M52)</f>
        <v>0</v>
      </c>
      <c r="N54" s="79" t="n">
        <f aca="false">SUMIF(E46:E52, "みらの", N46:N52)</f>
        <v>0</v>
      </c>
      <c r="O54" s="79" t="n">
        <f aca="false">SUMIF(E46:E52, "みらの", O46:O52)</f>
        <v>0</v>
      </c>
      <c r="P54" s="79" t="n">
        <f aca="false">SUMIF(E46:E52, "みらの", P46:P52)</f>
        <v>0</v>
      </c>
      <c r="Q54" s="79" t="n">
        <f aca="false">SUMIF(E46:E52, "みらの", Q46:Q52)</f>
        <v>0</v>
      </c>
      <c r="R54" s="79" t="n">
        <f aca="false">SUMIF(E46:E52, "みらの", R46:R52)</f>
        <v>0</v>
      </c>
      <c r="S54" s="79" t="n">
        <f aca="false">SUMIF(E46:E52, "みらの", S46:S52)</f>
        <v>0</v>
      </c>
      <c r="T54" s="80" t="n">
        <f aca="false">SUMIF(E46:E52, "みらの", T46:T52)</f>
        <v>0</v>
      </c>
    </row>
    <row r="55" customFormat="false" ht="22.5" hidden="false" customHeight="true" outlineLevel="0" collapsed="false">
      <c r="A55" s="76"/>
      <c r="B55" s="74" t="s">
        <v>95</v>
      </c>
      <c r="C55" s="74"/>
      <c r="D55" s="74"/>
      <c r="E55" s="74"/>
      <c r="F55" s="74"/>
      <c r="G55" s="74"/>
      <c r="H55" s="74"/>
      <c r="I55" s="75" t="n">
        <f aca="false">SUM(I53:I54)</f>
        <v>0</v>
      </c>
      <c r="J55" s="75" t="n">
        <f aca="false">SUM(J53:J54)</f>
        <v>0</v>
      </c>
      <c r="K55" s="75" t="n">
        <f aca="false">SUM(K53:K54)</f>
        <v>0</v>
      </c>
      <c r="L55" s="75" t="n">
        <f aca="false">SUM(L53:L54)</f>
        <v>0</v>
      </c>
      <c r="M55" s="75" t="n">
        <f aca="false">SUM(M53:M54)</f>
        <v>0</v>
      </c>
      <c r="N55" s="75" t="n">
        <f aca="false">SUM(N53:N54)</f>
        <v>0</v>
      </c>
      <c r="O55" s="75" t="n">
        <f aca="false">SUM(O53:O54)</f>
        <v>0</v>
      </c>
      <c r="P55" s="75" t="n">
        <f aca="false">SUM(P53:P54)</f>
        <v>0</v>
      </c>
      <c r="Q55" s="75" t="n">
        <f aca="false">SUM(Q53:Q54)</f>
        <v>0</v>
      </c>
      <c r="R55" s="75" t="n">
        <f aca="false">SUM(R53:R54)</f>
        <v>0</v>
      </c>
      <c r="S55" s="75" t="n">
        <f aca="false">SUM(S53:S54)</f>
        <v>0</v>
      </c>
      <c r="T55" s="81" t="n">
        <f aca="false">SUM(T53:T54)</f>
        <v>0</v>
      </c>
    </row>
    <row r="56" customFormat="false" ht="22.5" hidden="false" customHeight="true" outlineLevel="0" collapsed="false">
      <c r="A56" s="82" t="s">
        <v>97</v>
      </c>
      <c r="B56" s="82"/>
      <c r="C56" s="65" t="s">
        <v>98</v>
      </c>
      <c r="D56" s="83" t="s">
        <v>77</v>
      </c>
      <c r="E56" s="83"/>
      <c r="F56" s="83"/>
      <c r="G56" s="83"/>
      <c r="H56" s="83"/>
      <c r="I56" s="51" t="n">
        <f aca="false">I43-I53</f>
        <v>0</v>
      </c>
      <c r="J56" s="51" t="n">
        <f aca="false">J43-J53</f>
        <v>0</v>
      </c>
      <c r="K56" s="51" t="n">
        <f aca="false">K43-K53</f>
        <v>0</v>
      </c>
      <c r="L56" s="51" t="n">
        <f aca="false">L43-L53</f>
        <v>0</v>
      </c>
      <c r="M56" s="51" t="n">
        <f aca="false">M43-M53</f>
        <v>0</v>
      </c>
      <c r="N56" s="51" t="n">
        <f aca="false">N43-N53</f>
        <v>0</v>
      </c>
      <c r="O56" s="51" t="n">
        <f aca="false">O43-O53</f>
        <v>0</v>
      </c>
      <c r="P56" s="51" t="n">
        <f aca="false">P43-P53</f>
        <v>0</v>
      </c>
      <c r="Q56" s="51" t="n">
        <f aca="false">Q43-Q53</f>
        <v>0</v>
      </c>
      <c r="R56" s="51" t="n">
        <f aca="false">R43-R53</f>
        <v>0</v>
      </c>
      <c r="S56" s="51" t="n">
        <f aca="false">S43-S53</f>
        <v>0</v>
      </c>
      <c r="T56" s="52" t="n">
        <f aca="false">T43-T53</f>
        <v>0</v>
      </c>
    </row>
    <row r="57" customFormat="false" ht="22.5" hidden="false" customHeight="true" outlineLevel="0" collapsed="false">
      <c r="A57" s="82"/>
      <c r="B57" s="82"/>
      <c r="C57" s="66" t="s">
        <v>98</v>
      </c>
      <c r="D57" s="84" t="s">
        <v>88</v>
      </c>
      <c r="E57" s="84"/>
      <c r="F57" s="84"/>
      <c r="G57" s="84"/>
      <c r="H57" s="84"/>
      <c r="I57" s="55" t="n">
        <f aca="false">I44-I54</f>
        <v>0</v>
      </c>
      <c r="J57" s="55" t="n">
        <f aca="false">J44-J54</f>
        <v>0</v>
      </c>
      <c r="K57" s="55" t="n">
        <f aca="false">K44-K54</f>
        <v>0</v>
      </c>
      <c r="L57" s="55" t="n">
        <f aca="false">L44-L54</f>
        <v>0</v>
      </c>
      <c r="M57" s="55" t="n">
        <f aca="false">M44-M54</f>
        <v>0</v>
      </c>
      <c r="N57" s="55" t="n">
        <f aca="false">N44-N54</f>
        <v>0</v>
      </c>
      <c r="O57" s="55" t="n">
        <f aca="false">O44-O54</f>
        <v>0</v>
      </c>
      <c r="P57" s="55" t="n">
        <f aca="false">P44-P54</f>
        <v>0</v>
      </c>
      <c r="Q57" s="55" t="n">
        <f aca="false">Q44-Q54</f>
        <v>0</v>
      </c>
      <c r="R57" s="55" t="n">
        <f aca="false">R44-R54</f>
        <v>0</v>
      </c>
      <c r="S57" s="55" t="n">
        <f aca="false">S44-S54</f>
        <v>0</v>
      </c>
      <c r="T57" s="56" t="n">
        <f aca="false">T44-T54</f>
        <v>0</v>
      </c>
    </row>
    <row r="58" customFormat="false" ht="22.5" hidden="false" customHeight="true" outlineLevel="0" collapsed="false">
      <c r="A58" s="82"/>
      <c r="B58" s="82"/>
      <c r="C58" s="85" t="s">
        <v>91</v>
      </c>
      <c r="D58" s="85"/>
      <c r="E58" s="85"/>
      <c r="F58" s="85"/>
      <c r="G58" s="85"/>
      <c r="H58" s="85"/>
      <c r="I58" s="86" t="n">
        <f aca="false">SUM(I56:I57)</f>
        <v>0</v>
      </c>
      <c r="J58" s="86" t="n">
        <f aca="false">SUM(J56:J57)</f>
        <v>0</v>
      </c>
      <c r="K58" s="86" t="n">
        <f aca="false">SUM(K56:K57)</f>
        <v>0</v>
      </c>
      <c r="L58" s="86" t="n">
        <f aca="false">SUM(L56:L57)</f>
        <v>0</v>
      </c>
      <c r="M58" s="86" t="n">
        <f aca="false">SUM(M56:M57)</f>
        <v>0</v>
      </c>
      <c r="N58" s="86" t="n">
        <f aca="false">SUM(N56:N57)</f>
        <v>0</v>
      </c>
      <c r="O58" s="86" t="n">
        <f aca="false">SUM(O56:O57)</f>
        <v>0</v>
      </c>
      <c r="P58" s="86" t="n">
        <f aca="false">SUM(P56:P57)</f>
        <v>0</v>
      </c>
      <c r="Q58" s="86" t="n">
        <f aca="false">SUM(Q56:Q57)</f>
        <v>0</v>
      </c>
      <c r="R58" s="86" t="n">
        <f aca="false">SUM(R56:R57)</f>
        <v>0</v>
      </c>
      <c r="S58" s="86" t="n">
        <f aca="false">SUM(S56:S57)</f>
        <v>0</v>
      </c>
      <c r="T58" s="87" t="n">
        <f aca="false">SUM(T56:T57)</f>
        <v>0</v>
      </c>
    </row>
    <row r="59" customFormat="false" ht="22.5" hidden="false" customHeight="true" outlineLevel="0" collapsed="false">
      <c r="A59" s="88" t="s">
        <v>99</v>
      </c>
      <c r="B59" s="88"/>
      <c r="C59" s="89" t="s">
        <v>78</v>
      </c>
      <c r="D59" s="90" t="s">
        <v>77</v>
      </c>
      <c r="E59" s="90"/>
      <c r="F59" s="90"/>
      <c r="G59" s="90"/>
      <c r="H59" s="90"/>
      <c r="I59" s="91" t="n">
        <f aca="false">IFERROR((I16/I43),0)</f>
        <v>0</v>
      </c>
      <c r="J59" s="91" t="n">
        <f aca="false">IFERROR((J16/J43),0)</f>
        <v>0</v>
      </c>
      <c r="K59" s="91" t="n">
        <f aca="false">IFERROR((K16/K43),0)</f>
        <v>0</v>
      </c>
      <c r="L59" s="91" t="n">
        <f aca="false">IFERROR((L16/L43),0)</f>
        <v>0</v>
      </c>
      <c r="M59" s="91" t="n">
        <f aca="false">IFERROR((M16/M43),0)</f>
        <v>0</v>
      </c>
      <c r="N59" s="91" t="n">
        <f aca="false">IFERROR((N16/N43),0)</f>
        <v>0</v>
      </c>
      <c r="O59" s="91" t="n">
        <f aca="false">IFERROR((O16/O43),0)</f>
        <v>0</v>
      </c>
      <c r="P59" s="91" t="n">
        <f aca="false">IFERROR((P16/P43),0)</f>
        <v>0</v>
      </c>
      <c r="Q59" s="91" t="n">
        <f aca="false">IFERROR((Q16/Q43),0)</f>
        <v>0</v>
      </c>
      <c r="R59" s="91" t="n">
        <f aca="false">IFERROR((R16/R43),0)</f>
        <v>0</v>
      </c>
      <c r="S59" s="91" t="n">
        <f aca="false">IFERROR((S16/S43),0)</f>
        <v>0</v>
      </c>
      <c r="T59" s="92" t="n">
        <f aca="false">IFERROR((T16/T43),0)</f>
        <v>0</v>
      </c>
    </row>
    <row r="60" customFormat="false" ht="22.5" hidden="false" customHeight="true" outlineLevel="0" collapsed="false">
      <c r="A60" s="88"/>
      <c r="B60" s="88"/>
      <c r="C60" s="54" t="s">
        <v>81</v>
      </c>
      <c r="D60" s="84" t="s">
        <v>77</v>
      </c>
      <c r="E60" s="84"/>
      <c r="F60" s="84"/>
      <c r="G60" s="84"/>
      <c r="H60" s="84"/>
      <c r="I60" s="93" t="n">
        <f aca="false">IFERROR((I29/I43),0)</f>
        <v>0</v>
      </c>
      <c r="J60" s="93" t="n">
        <f aca="false">IFERROR((J29/J43),0)</f>
        <v>0</v>
      </c>
      <c r="K60" s="93" t="n">
        <f aca="false">IFERROR((K29/K43),0)</f>
        <v>0</v>
      </c>
      <c r="L60" s="93" t="n">
        <f aca="false">IFERROR((L29/L43),0)</f>
        <v>0</v>
      </c>
      <c r="M60" s="93" t="n">
        <f aca="false">IFERROR((M29/M43),0)</f>
        <v>0</v>
      </c>
      <c r="N60" s="93" t="n">
        <f aca="false">IFERROR((N29/N43),0)</f>
        <v>0</v>
      </c>
      <c r="O60" s="93" t="n">
        <f aca="false">IFERROR((O29/O43),0)</f>
        <v>0</v>
      </c>
      <c r="P60" s="93" t="n">
        <f aca="false">IFERROR((P29/P43),0)</f>
        <v>0</v>
      </c>
      <c r="Q60" s="93" t="n">
        <f aca="false">IFERROR((Q29/Q43),0)</f>
        <v>0</v>
      </c>
      <c r="R60" s="93" t="n">
        <f aca="false">IFERROR((R29/R43),0)</f>
        <v>0</v>
      </c>
      <c r="S60" s="93" t="n">
        <f aca="false">IFERROR((S29/S43),0)</f>
        <v>0</v>
      </c>
      <c r="T60" s="94" t="n">
        <f aca="false">IFERROR((T29/T43),0)</f>
        <v>0</v>
      </c>
    </row>
    <row r="61" customFormat="false" ht="22.5" hidden="false" customHeight="true" outlineLevel="0" collapsed="false">
      <c r="A61" s="88"/>
      <c r="B61" s="88"/>
      <c r="C61" s="54" t="s">
        <v>83</v>
      </c>
      <c r="D61" s="84" t="s">
        <v>77</v>
      </c>
      <c r="E61" s="84"/>
      <c r="F61" s="84"/>
      <c r="G61" s="84"/>
      <c r="H61" s="84"/>
      <c r="I61" s="93" t="n">
        <f aca="false">IFERROR((I40/I43),0)</f>
        <v>0</v>
      </c>
      <c r="J61" s="93" t="n">
        <f aca="false">IFERROR((J40/J43),0)</f>
        <v>0</v>
      </c>
      <c r="K61" s="93" t="n">
        <f aca="false">IFERROR((K40/K43),0)</f>
        <v>0</v>
      </c>
      <c r="L61" s="93" t="n">
        <f aca="false">IFERROR((L40/L43),0)</f>
        <v>0</v>
      </c>
      <c r="M61" s="93" t="n">
        <f aca="false">IFERROR((M40/M43),0)</f>
        <v>0</v>
      </c>
      <c r="N61" s="93" t="n">
        <f aca="false">IFERROR((N40/N43),0)</f>
        <v>0</v>
      </c>
      <c r="O61" s="93" t="n">
        <f aca="false">IFERROR((O40/O43),0)</f>
        <v>0</v>
      </c>
      <c r="P61" s="93" t="n">
        <f aca="false">IFERROR((P40/P43),0)</f>
        <v>0</v>
      </c>
      <c r="Q61" s="93" t="n">
        <f aca="false">IFERROR((Q40/Q43),0)</f>
        <v>0</v>
      </c>
      <c r="R61" s="93" t="n">
        <f aca="false">IFERROR((R40/R43),0)</f>
        <v>0</v>
      </c>
      <c r="S61" s="93" t="n">
        <f aca="false">IFERROR((S40/S43),0)</f>
        <v>0</v>
      </c>
      <c r="T61" s="94" t="n">
        <f aca="false">IFERROR((T40/T43),0)</f>
        <v>0</v>
      </c>
    </row>
    <row r="62" customFormat="false" ht="22.5" hidden="false" customHeight="true" outlineLevel="0" collapsed="false">
      <c r="A62" s="88"/>
      <c r="B62" s="88"/>
      <c r="C62" s="54" t="s">
        <v>78</v>
      </c>
      <c r="D62" s="84" t="s">
        <v>88</v>
      </c>
      <c r="E62" s="84"/>
      <c r="F62" s="84"/>
      <c r="G62" s="84"/>
      <c r="H62" s="84"/>
      <c r="I62" s="93" t="n">
        <f aca="false">IFERROR((I17/I44),0)</f>
        <v>0</v>
      </c>
      <c r="J62" s="93" t="n">
        <f aca="false">IFERROR((J17/J44),0)</f>
        <v>0</v>
      </c>
      <c r="K62" s="93" t="n">
        <f aca="false">IFERROR((K17/K44),0)</f>
        <v>0</v>
      </c>
      <c r="L62" s="93" t="n">
        <f aca="false">IFERROR((L17/L44),0)</f>
        <v>0</v>
      </c>
      <c r="M62" s="93" t="n">
        <f aca="false">IFERROR((M17/M44),0)</f>
        <v>0</v>
      </c>
      <c r="N62" s="93" t="n">
        <f aca="false">IFERROR((N17/N44),0)</f>
        <v>0</v>
      </c>
      <c r="O62" s="93" t="n">
        <f aca="false">IFERROR((O17/O44),0)</f>
        <v>0</v>
      </c>
      <c r="P62" s="93" t="n">
        <f aca="false">IFERROR((P17/P44),0)</f>
        <v>0</v>
      </c>
      <c r="Q62" s="93" t="n">
        <f aca="false">IFERROR((Q17/Q44),0)</f>
        <v>0</v>
      </c>
      <c r="R62" s="93" t="n">
        <f aca="false">IFERROR((R17/R44),0)</f>
        <v>0</v>
      </c>
      <c r="S62" s="93" t="n">
        <f aca="false">IFERROR((S17/S44),0)</f>
        <v>0</v>
      </c>
      <c r="T62" s="94" t="n">
        <f aca="false">IFERROR((T17/T44),0)</f>
        <v>0</v>
      </c>
    </row>
    <row r="63" customFormat="false" ht="22.5" hidden="false" customHeight="true" outlineLevel="0" collapsed="false">
      <c r="A63" s="88"/>
      <c r="B63" s="88"/>
      <c r="C63" s="54" t="s">
        <v>81</v>
      </c>
      <c r="D63" s="84" t="s">
        <v>88</v>
      </c>
      <c r="E63" s="84"/>
      <c r="F63" s="84"/>
      <c r="G63" s="84"/>
      <c r="H63" s="84"/>
      <c r="I63" s="93" t="n">
        <f aca="false">IFERROR((I30/I44),0)</f>
        <v>0</v>
      </c>
      <c r="J63" s="93" t="n">
        <f aca="false">IFERROR((J30/J44),0)</f>
        <v>0</v>
      </c>
      <c r="K63" s="93" t="n">
        <f aca="false">IFERROR((K30/K44),0)</f>
        <v>0</v>
      </c>
      <c r="L63" s="93" t="n">
        <f aca="false">IFERROR((L30/L44),0)</f>
        <v>0</v>
      </c>
      <c r="M63" s="93" t="n">
        <f aca="false">IFERROR((M30/M44),0)</f>
        <v>0</v>
      </c>
      <c r="N63" s="93" t="n">
        <f aca="false">IFERROR((N30/N44),0)</f>
        <v>0</v>
      </c>
      <c r="O63" s="93" t="n">
        <f aca="false">IFERROR((O30/O44),0)</f>
        <v>0</v>
      </c>
      <c r="P63" s="93" t="n">
        <f aca="false">IFERROR((P30/P44),0)</f>
        <v>0</v>
      </c>
      <c r="Q63" s="93" t="n">
        <f aca="false">IFERROR((Q30/Q44),0)</f>
        <v>0</v>
      </c>
      <c r="R63" s="93" t="n">
        <f aca="false">IFERROR((R30/R44),0)</f>
        <v>0</v>
      </c>
      <c r="S63" s="93" t="n">
        <f aca="false">IFERROR((S30/S44),0)</f>
        <v>0</v>
      </c>
      <c r="T63" s="94" t="n">
        <f aca="false">IFERROR((T30/T44),0)</f>
        <v>0</v>
      </c>
    </row>
    <row r="64" customFormat="false" ht="22.5" hidden="false" customHeight="true" outlineLevel="0" collapsed="false">
      <c r="A64" s="88"/>
      <c r="B64" s="88"/>
      <c r="C64" s="54" t="s">
        <v>83</v>
      </c>
      <c r="D64" s="84" t="s">
        <v>88</v>
      </c>
      <c r="E64" s="84"/>
      <c r="F64" s="84"/>
      <c r="G64" s="84"/>
      <c r="H64" s="84"/>
      <c r="I64" s="93" t="n">
        <f aca="false">IFERROR((I41/I44),0)</f>
        <v>0</v>
      </c>
      <c r="J64" s="93" t="n">
        <f aca="false">IFERROR((J41/J44),0)</f>
        <v>0</v>
      </c>
      <c r="K64" s="93" t="n">
        <f aca="false">IFERROR((K41/K44),0)</f>
        <v>0</v>
      </c>
      <c r="L64" s="93" t="n">
        <f aca="false">IFERROR((L41/L44),0)</f>
        <v>0</v>
      </c>
      <c r="M64" s="93" t="n">
        <f aca="false">IFERROR((M41/M44),0)</f>
        <v>0</v>
      </c>
      <c r="N64" s="93" t="n">
        <f aca="false">IFERROR((N41/N44),0)</f>
        <v>0</v>
      </c>
      <c r="O64" s="93" t="n">
        <f aca="false">IFERROR((O41/O44),0)</f>
        <v>0</v>
      </c>
      <c r="P64" s="93" t="n">
        <f aca="false">IFERROR((P41/P44),0)</f>
        <v>0</v>
      </c>
      <c r="Q64" s="93" t="n">
        <f aca="false">IFERROR((Q41/Q44),0)</f>
        <v>0</v>
      </c>
      <c r="R64" s="93" t="n">
        <f aca="false">IFERROR((R41/R44),0)</f>
        <v>0</v>
      </c>
      <c r="S64" s="93" t="n">
        <f aca="false">IFERROR((S41/S44),0)</f>
        <v>0</v>
      </c>
      <c r="T64" s="94" t="n">
        <f aca="false">IFERROR((T41/T44),0)</f>
        <v>0</v>
      </c>
    </row>
    <row r="65" customFormat="false" ht="22.5" hidden="false" customHeight="true" outlineLevel="0" collapsed="false">
      <c r="A65" s="88"/>
      <c r="B65" s="88"/>
      <c r="C65" s="54" t="s">
        <v>78</v>
      </c>
      <c r="D65" s="95" t="s">
        <v>100</v>
      </c>
      <c r="E65" s="95"/>
      <c r="F65" s="95"/>
      <c r="G65" s="95"/>
      <c r="H65" s="95"/>
      <c r="I65" s="93" t="n">
        <f aca="false">IFERROR(I18/I45,0)</f>
        <v>0</v>
      </c>
      <c r="J65" s="93" t="n">
        <f aca="false">IFERROR(J18/J45,0)</f>
        <v>0</v>
      </c>
      <c r="K65" s="93" t="n">
        <f aca="false">IFERROR(K18/K45,0)</f>
        <v>0</v>
      </c>
      <c r="L65" s="93" t="n">
        <f aca="false">IFERROR(L18/L45,0)</f>
        <v>0</v>
      </c>
      <c r="M65" s="93" t="n">
        <f aca="false">IFERROR(M18/M45,0)</f>
        <v>0</v>
      </c>
      <c r="N65" s="93" t="n">
        <f aca="false">IFERROR(N18/N45,0)</f>
        <v>0</v>
      </c>
      <c r="O65" s="93" t="n">
        <f aca="false">IFERROR(O18/O45,0)</f>
        <v>0</v>
      </c>
      <c r="P65" s="93" t="n">
        <f aca="false">IFERROR(P18/P45,0)</f>
        <v>0</v>
      </c>
      <c r="Q65" s="93" t="n">
        <f aca="false">IFERROR(Q18/Q45,0)</f>
        <v>0</v>
      </c>
      <c r="R65" s="93" t="n">
        <f aca="false">IFERROR(R18/R45,0)</f>
        <v>0</v>
      </c>
      <c r="S65" s="93" t="n">
        <f aca="false">IFERROR(S18/S45,0)</f>
        <v>0</v>
      </c>
      <c r="T65" s="94" t="n">
        <f aca="false">IFERROR(T18/T45,0)</f>
        <v>0</v>
      </c>
    </row>
    <row r="66" customFormat="false" ht="22.5" hidden="false" customHeight="true" outlineLevel="0" collapsed="false">
      <c r="A66" s="88"/>
      <c r="B66" s="88"/>
      <c r="C66" s="54" t="s">
        <v>81</v>
      </c>
      <c r="D66" s="95" t="s">
        <v>100</v>
      </c>
      <c r="E66" s="95"/>
      <c r="F66" s="95"/>
      <c r="G66" s="95"/>
      <c r="H66" s="95"/>
      <c r="I66" s="93" t="n">
        <f aca="false">IFERROR(I31/I45,0)</f>
        <v>0</v>
      </c>
      <c r="J66" s="93" t="n">
        <f aca="false">IFERROR(J31/J45,0)</f>
        <v>0</v>
      </c>
      <c r="K66" s="93" t="n">
        <f aca="false">IFERROR(K31/K45,0)</f>
        <v>0</v>
      </c>
      <c r="L66" s="93" t="n">
        <f aca="false">IFERROR(L31/L45,0)</f>
        <v>0</v>
      </c>
      <c r="M66" s="93" t="n">
        <f aca="false">IFERROR(M31/M45,0)</f>
        <v>0</v>
      </c>
      <c r="N66" s="93" t="n">
        <f aca="false">IFERROR(N31/N45,0)</f>
        <v>0</v>
      </c>
      <c r="O66" s="93" t="n">
        <f aca="false">IFERROR(O31/O45,0)</f>
        <v>0</v>
      </c>
      <c r="P66" s="93" t="n">
        <f aca="false">IFERROR(P31/P45,0)</f>
        <v>0</v>
      </c>
      <c r="Q66" s="93" t="n">
        <f aca="false">IFERROR(Q31/Q45,0)</f>
        <v>0</v>
      </c>
      <c r="R66" s="93" t="n">
        <f aca="false">IFERROR(R31/R45,0)</f>
        <v>0</v>
      </c>
      <c r="S66" s="93" t="n">
        <f aca="false">IFERROR(S31/S45,0)</f>
        <v>0</v>
      </c>
      <c r="T66" s="94" t="n">
        <f aca="false">IFERROR(T31/T45,0)</f>
        <v>0</v>
      </c>
    </row>
    <row r="67" customFormat="false" ht="22.5" hidden="false" customHeight="true" outlineLevel="0" collapsed="false">
      <c r="A67" s="88"/>
      <c r="B67" s="88"/>
      <c r="C67" s="96" t="s">
        <v>83</v>
      </c>
      <c r="D67" s="85" t="s">
        <v>100</v>
      </c>
      <c r="E67" s="85"/>
      <c r="F67" s="85"/>
      <c r="G67" s="85"/>
      <c r="H67" s="85"/>
      <c r="I67" s="97" t="n">
        <f aca="false">IFERROR(I42/I45,0)</f>
        <v>0</v>
      </c>
      <c r="J67" s="97" t="n">
        <f aca="false">IFERROR(J42/J45,0)</f>
        <v>0</v>
      </c>
      <c r="K67" s="97" t="n">
        <f aca="false">IFERROR(K42/K45,0)</f>
        <v>0</v>
      </c>
      <c r="L67" s="97" t="n">
        <f aca="false">IFERROR(L42/L45,0)</f>
        <v>0</v>
      </c>
      <c r="M67" s="97" t="n">
        <f aca="false">IFERROR(M42/M45,0)</f>
        <v>0</v>
      </c>
      <c r="N67" s="97" t="n">
        <f aca="false">IFERROR(N42/N45,0)</f>
        <v>0</v>
      </c>
      <c r="O67" s="97" t="n">
        <f aca="false">IFERROR(O42/O45,0)</f>
        <v>0</v>
      </c>
      <c r="P67" s="97" t="n">
        <f aca="false">IFERROR(P42/P45,0)</f>
        <v>0</v>
      </c>
      <c r="Q67" s="97" t="n">
        <f aca="false">IFERROR(Q42/Q45,0)</f>
        <v>0</v>
      </c>
      <c r="R67" s="97" t="n">
        <f aca="false">IFERROR(R42/R45,0)</f>
        <v>0</v>
      </c>
      <c r="S67" s="97" t="n">
        <f aca="false">IFERROR(S42/S45,0)</f>
        <v>0</v>
      </c>
      <c r="T67" s="98" t="n">
        <f aca="false">IFERROR(T42/T45,0)</f>
        <v>0</v>
      </c>
    </row>
    <row r="68" customFormat="false" ht="22.5" hidden="false" customHeight="true" outlineLevel="0" collapsed="false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customFormat="false" ht="22.5" hidden="false" customHeight="true" outlineLevel="0" collapsed="false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customFormat="false" ht="22.5" hidden="false" customHeight="true" outlineLevel="0" collapsed="false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customFormat="false" ht="22.5" hidden="false" customHeight="true" outlineLevel="0" collapsed="false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customFormat="false" ht="22.5" hidden="false" customHeight="true" outlineLevel="0" collapsed="false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customFormat="false" ht="22.5" hidden="false" customHeight="true" outlineLevel="0" collapsed="false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customFormat="false" ht="22.5" hidden="false" customHeight="true" outlineLevel="0" collapsed="false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customFormat="false" ht="22.5" hidden="false" customHeight="true" outlineLevel="0" collapsed="false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customFormat="false" ht="22.5" hidden="false" customHeight="true" outlineLevel="0" collapsed="false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customFormat="false" ht="22.5" hidden="false" customHeight="true" outlineLevel="0" collapsed="false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customFormat="false" ht="22.5" hidden="false" customHeight="true" outlineLevel="0" collapsed="false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customFormat="false" ht="22.5" hidden="false" customHeight="true" outlineLevel="0" collapsed="false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customFormat="false" ht="22.5" hidden="false" customHeight="true" outlineLevel="0" collapsed="false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customFormat="false" ht="22.5" hidden="false" customHeight="true" outlineLevel="0" collapsed="false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customFormat="false" ht="22.5" hidden="false" customHeight="true" outlineLevel="0" collapsed="false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customFormat="false" ht="22.5" hidden="false" customHeight="true" outlineLevel="0" collapsed="false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customFormat="false" ht="22.5" hidden="false" customHeight="true" outlineLevel="0" collapsed="false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customFormat="false" ht="22.5" hidden="false" customHeight="true" outlineLevel="0" collapsed="false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customFormat="false" ht="22.5" hidden="false" customHeight="true" outlineLevel="0" collapsed="false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customFormat="false" ht="22.5" hidden="false" customHeight="true" outlineLevel="0" collapsed="false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customFormat="false" ht="22.5" hidden="false" customHeight="true" outlineLevel="0" collapsed="false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customFormat="false" ht="22.5" hidden="false" customHeight="true" outlineLevel="0" collapsed="false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customFormat="false" ht="22.5" hidden="false" customHeight="true" outlineLevel="0" collapsed="false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customFormat="false" ht="22.5" hidden="false" customHeight="true" outlineLevel="0" collapsed="false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customFormat="false" ht="22.5" hidden="false" customHeight="true" outlineLevel="0" collapsed="false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customFormat="false" ht="22.5" hidden="false" customHeight="true" outlineLevel="0" collapsed="false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customFormat="false" ht="22.5" hidden="false" customHeight="true" outlineLevel="0" collapsed="false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customFormat="false" ht="22.5" hidden="false" customHeight="true" outlineLevel="0" collapsed="false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customFormat="false" ht="22.5" hidden="false" customHeight="true" outlineLevel="0" collapsed="false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customFormat="false" ht="22.5" hidden="false" customHeight="true" outlineLevel="0" collapsed="false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customFormat="false" ht="22.5" hidden="false" customHeight="true" outlineLevel="0" collapsed="false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customFormat="false" ht="22.5" hidden="false" customHeight="true" outlineLevel="0" collapsed="false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</row>
    <row r="100" customFormat="false" ht="22.5" hidden="false" customHeight="true" outlineLevel="0" collapsed="false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</row>
    <row r="101" customFormat="false" ht="22.5" hidden="false" customHeight="true" outlineLevel="0" collapsed="false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</row>
    <row r="102" customFormat="false" ht="22.5" hidden="false" customHeight="true" outlineLevel="0" collapsed="false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</row>
    <row r="103" customFormat="false" ht="22.5" hidden="false" customHeight="true" outlineLevel="0" collapsed="false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</row>
    <row r="104" customFormat="false" ht="22.5" hidden="false" customHeight="true" outlineLevel="0" collapsed="false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</row>
    <row r="105" customFormat="false" ht="22.5" hidden="false" customHeight="true" outlineLevel="0" collapsed="false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</row>
    <row r="106" customFormat="false" ht="22.5" hidden="false" customHeight="true" outlineLevel="0" collapsed="false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</row>
    <row r="107" customFormat="false" ht="22.5" hidden="false" customHeight="true" outlineLevel="0" collapsed="false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</row>
    <row r="108" customFormat="false" ht="22.5" hidden="false" customHeight="true" outlineLevel="0" collapsed="false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</row>
    <row r="109" customFormat="false" ht="22.5" hidden="false" customHeight="true" outlineLevel="0" collapsed="false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</row>
    <row r="110" customFormat="false" ht="22.5" hidden="false" customHeight="true" outlineLevel="0" collapsed="false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</row>
    <row r="111" customFormat="false" ht="22.5" hidden="false" customHeight="true" outlineLevel="0" collapsed="false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</row>
    <row r="112" customFormat="false" ht="22.5" hidden="false" customHeight="true" outlineLevel="0" collapsed="false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</row>
    <row r="113" customFormat="false" ht="22.5" hidden="false" customHeight="true" outlineLevel="0" collapsed="false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</row>
    <row r="114" customFormat="false" ht="22.5" hidden="false" customHeight="true" outlineLevel="0" collapsed="false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</row>
    <row r="115" customFormat="false" ht="22.5" hidden="false" customHeight="true" outlineLevel="0" collapsed="false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</row>
    <row r="116" customFormat="false" ht="22.5" hidden="false" customHeight="true" outlineLevel="0" collapsed="false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</row>
    <row r="117" customFormat="false" ht="22.5" hidden="false" customHeight="true" outlineLevel="0" collapsed="false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</row>
    <row r="118" customFormat="false" ht="22.5" hidden="false" customHeight="true" outlineLevel="0" collapsed="false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</row>
    <row r="119" customFormat="false" ht="22.5" hidden="false" customHeight="true" outlineLevel="0" collapsed="false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</row>
    <row r="120" customFormat="false" ht="22.5" hidden="false" customHeight="true" outlineLevel="0" collapsed="false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</row>
    <row r="121" customFormat="false" ht="22.5" hidden="false" customHeight="true" outlineLevel="0" collapsed="false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</row>
    <row r="122" customFormat="false" ht="22.5" hidden="false" customHeight="true" outlineLevel="0" collapsed="false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</row>
    <row r="123" customFormat="false" ht="22.5" hidden="false" customHeight="true" outlineLevel="0" collapsed="false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</row>
    <row r="124" customFormat="false" ht="22.5" hidden="false" customHeight="true" outlineLevel="0" collapsed="false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</row>
    <row r="125" customFormat="false" ht="22.5" hidden="false" customHeight="true" outlineLevel="0" collapsed="false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</row>
    <row r="126" customFormat="false" ht="22.5" hidden="false" customHeight="true" outlineLevel="0" collapsed="false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</row>
    <row r="127" customFormat="false" ht="22.5" hidden="false" customHeight="true" outlineLevel="0" collapsed="false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</row>
    <row r="128" customFormat="false" ht="22.5" hidden="false" customHeight="true" outlineLevel="0" collapsed="false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</row>
    <row r="129" customFormat="false" ht="22.5" hidden="false" customHeight="true" outlineLevel="0" collapsed="false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</row>
    <row r="130" customFormat="false" ht="22.5" hidden="false" customHeight="true" outlineLevel="0" collapsed="false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</row>
    <row r="131" customFormat="false" ht="22.5" hidden="false" customHeight="true" outlineLevel="0" collapsed="false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</row>
    <row r="132" customFormat="false" ht="22.5" hidden="false" customHeight="true" outlineLevel="0" collapsed="false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</row>
    <row r="133" customFormat="false" ht="22.5" hidden="false" customHeight="true" outlineLevel="0" collapsed="false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</row>
    <row r="134" customFormat="false" ht="22.5" hidden="false" customHeight="true" outlineLevel="0" collapsed="false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</row>
    <row r="135" customFormat="false" ht="22.5" hidden="false" customHeight="true" outlineLevel="0" collapsed="false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</row>
    <row r="136" customFormat="false" ht="22.5" hidden="false" customHeight="true" outlineLevel="0" collapsed="false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</row>
    <row r="137" customFormat="false" ht="22.5" hidden="false" customHeight="true" outlineLevel="0" collapsed="false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</row>
    <row r="138" customFormat="false" ht="22.5" hidden="false" customHeight="true" outlineLevel="0" collapsed="false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</row>
    <row r="139" customFormat="false" ht="22.5" hidden="false" customHeight="true" outlineLevel="0" collapsed="false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</row>
    <row r="140" customFormat="false" ht="22.5" hidden="false" customHeight="true" outlineLevel="0" collapsed="false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</row>
    <row r="141" customFormat="false" ht="22.5" hidden="false" customHeight="true" outlineLevel="0" collapsed="false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</row>
    <row r="142" customFormat="false" ht="22.5" hidden="false" customHeight="true" outlineLevel="0" collapsed="false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</row>
    <row r="143" customFormat="false" ht="22.5" hidden="false" customHeight="true" outlineLevel="0" collapsed="false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</row>
    <row r="144" customFormat="false" ht="22.5" hidden="false" customHeight="true" outlineLevel="0" collapsed="false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</row>
    <row r="145" customFormat="false" ht="22.5" hidden="false" customHeight="true" outlineLevel="0" collapsed="false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</row>
    <row r="146" customFormat="false" ht="22.5" hidden="false" customHeight="true" outlineLevel="0" collapsed="false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</row>
    <row r="147" customFormat="false" ht="22.5" hidden="false" customHeight="true" outlineLevel="0" collapsed="false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</row>
    <row r="148" customFormat="false" ht="22.5" hidden="false" customHeight="true" outlineLevel="0" collapsed="false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</row>
    <row r="149" customFormat="false" ht="22.5" hidden="false" customHeight="true" outlineLevel="0" collapsed="false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</row>
    <row r="150" customFormat="false" ht="22.5" hidden="false" customHeight="true" outlineLevel="0" collapsed="false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</row>
    <row r="151" customFormat="false" ht="22.5" hidden="false" customHeight="true" outlineLevel="0" collapsed="false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</row>
    <row r="152" customFormat="false" ht="22.5" hidden="false" customHeight="true" outlineLevel="0" collapsed="false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</row>
    <row r="153" customFormat="false" ht="22.5" hidden="false" customHeight="true" outlineLevel="0" collapsed="false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</row>
    <row r="154" customFormat="false" ht="22.5" hidden="false" customHeight="true" outlineLevel="0" collapsed="false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</row>
    <row r="155" customFormat="false" ht="22.5" hidden="false" customHeight="true" outlineLevel="0" collapsed="false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</row>
    <row r="156" customFormat="false" ht="22.5" hidden="false" customHeight="true" outlineLevel="0" collapsed="false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</row>
    <row r="157" customFormat="false" ht="22.5" hidden="false" customHeight="true" outlineLevel="0" collapsed="false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</row>
    <row r="158" customFormat="false" ht="22.5" hidden="false" customHeight="true" outlineLevel="0" collapsed="false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</row>
    <row r="159" customFormat="false" ht="22.5" hidden="false" customHeight="true" outlineLevel="0" collapsed="false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</row>
    <row r="160" customFormat="false" ht="22.5" hidden="false" customHeight="true" outlineLevel="0" collapsed="false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</row>
    <row r="161" customFormat="false" ht="22.5" hidden="false" customHeight="true" outlineLevel="0" collapsed="false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</row>
    <row r="162" customFormat="false" ht="22.5" hidden="false" customHeight="true" outlineLevel="0" collapsed="false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</row>
    <row r="163" customFormat="false" ht="22.5" hidden="false" customHeight="true" outlineLevel="0" collapsed="false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</row>
    <row r="164" customFormat="false" ht="22.5" hidden="false" customHeight="true" outlineLevel="0" collapsed="false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</row>
    <row r="165" customFormat="false" ht="22.5" hidden="false" customHeight="true" outlineLevel="0" collapsed="false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</row>
    <row r="166" customFormat="false" ht="22.5" hidden="false" customHeight="true" outlineLevel="0" collapsed="false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</row>
    <row r="167" customFormat="false" ht="22.5" hidden="false" customHeight="true" outlineLevel="0" collapsed="false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</row>
  </sheetData>
  <mergeCells count="35">
    <mergeCell ref="A1:C1"/>
    <mergeCell ref="D1:H1"/>
    <mergeCell ref="A3:B3"/>
    <mergeCell ref="A4:A45"/>
    <mergeCell ref="B16:H16"/>
    <mergeCell ref="B17:H17"/>
    <mergeCell ref="B18:H18"/>
    <mergeCell ref="B29:H29"/>
    <mergeCell ref="B30:H30"/>
    <mergeCell ref="B31:H31"/>
    <mergeCell ref="B40:H40"/>
    <mergeCell ref="B41:H41"/>
    <mergeCell ref="B42:H42"/>
    <mergeCell ref="B43:H43"/>
    <mergeCell ref="B44:H44"/>
    <mergeCell ref="B45:H45"/>
    <mergeCell ref="A46:A55"/>
    <mergeCell ref="B46:B52"/>
    <mergeCell ref="B53:H53"/>
    <mergeCell ref="B54:H54"/>
    <mergeCell ref="B55:H55"/>
    <mergeCell ref="A56:B58"/>
    <mergeCell ref="D56:H56"/>
    <mergeCell ref="D57:H57"/>
    <mergeCell ref="C58:H58"/>
    <mergeCell ref="A59:B67"/>
    <mergeCell ref="D59:H59"/>
    <mergeCell ref="D60:H60"/>
    <mergeCell ref="D61:H61"/>
    <mergeCell ref="D62:H62"/>
    <mergeCell ref="D63:H63"/>
    <mergeCell ref="D64:H64"/>
    <mergeCell ref="D65:H65"/>
    <mergeCell ref="D66:H66"/>
    <mergeCell ref="D67:H67"/>
  </mergeCells>
  <dataValidations count="1">
    <dataValidation allowBlank="true" errorStyle="stop" operator="between" showDropDown="false" showErrorMessage="true" showInputMessage="true" sqref="E4:E15 E19:E28 E32:E39 E46:E52" type="list">
      <formula1>"たいよう,みらの"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Z150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A1" activeCellId="0" sqref="A1"/>
    </sheetView>
  </sheetViews>
  <sheetFormatPr defaultColWidth="8.62890625" defaultRowHeight="15.75" zeroHeight="false" outlineLevelRow="0" outlineLevelCol="0"/>
  <cols>
    <col collapsed="false" customWidth="true" hidden="false" outlineLevel="0" max="2" min="1" style="19" width="18.63"/>
    <col collapsed="false" customWidth="false" hidden="false" outlineLevel="0" max="3" min="3" style="19" width="8.63"/>
    <col collapsed="false" customWidth="true" hidden="false" outlineLevel="0" max="4" min="4" style="19" width="22.25"/>
    <col collapsed="false" customWidth="true" hidden="false" outlineLevel="0" max="5" min="5" style="19" width="18.63"/>
    <col collapsed="false" customWidth="false" hidden="false" outlineLevel="0" max="9" min="6" style="19" width="8.63"/>
    <col collapsed="false" customWidth="true" hidden="false" outlineLevel="0" max="10" min="10" style="19" width="12.63"/>
    <col collapsed="false" customWidth="false" hidden="false" outlineLevel="0" max="14" min="11" style="19" width="8.63"/>
    <col collapsed="false" customWidth="true" hidden="false" outlineLevel="0" max="15" min="15" style="19" width="12.63"/>
    <col collapsed="false" customWidth="false" hidden="false" outlineLevel="0" max="16384" min="16" style="19" width="8.63"/>
  </cols>
  <sheetData>
    <row r="1" customFormat="false" ht="33" hidden="false" customHeight="true" outlineLevel="0" collapsed="false">
      <c r="A1" s="42" t="s">
        <v>101</v>
      </c>
      <c r="B1" s="42"/>
      <c r="C1" s="42"/>
      <c r="D1" s="99" t="s">
        <v>102</v>
      </c>
      <c r="BW1" s="100"/>
      <c r="BX1" s="100"/>
    </row>
    <row r="2" customFormat="false" ht="22.5" hidden="false" customHeight="true" outlineLevel="0" collapsed="false">
      <c r="A2" s="101" t="s">
        <v>103</v>
      </c>
      <c r="B2" s="102"/>
      <c r="BW2" s="103" t="s">
        <v>28</v>
      </c>
      <c r="BX2" s="104" t="n">
        <f aca="false">AVERAGE(年間推移!E15:P15)</f>
        <v>0</v>
      </c>
      <c r="BY2" s="103" t="s">
        <v>58</v>
      </c>
      <c r="BZ2" s="104" t="n">
        <f aca="false">AVERAGE(年間推移!E22:P22)</f>
        <v>0</v>
      </c>
    </row>
    <row r="3" customFormat="false" ht="22.5" hidden="false" customHeight="true" outlineLevel="0" collapsed="false">
      <c r="A3" s="105" t="s">
        <v>16</v>
      </c>
      <c r="B3" s="105"/>
      <c r="D3" s="105" t="s">
        <v>17</v>
      </c>
      <c r="E3" s="105"/>
      <c r="G3" s="106" t="s">
        <v>104</v>
      </c>
      <c r="H3" s="106"/>
      <c r="I3" s="106"/>
      <c r="J3" s="107" t="s">
        <v>105</v>
      </c>
      <c r="L3" s="106" t="s">
        <v>106</v>
      </c>
      <c r="M3" s="106"/>
      <c r="N3" s="106"/>
      <c r="O3" s="107" t="s">
        <v>105</v>
      </c>
      <c r="BW3" s="103" t="s">
        <v>34</v>
      </c>
      <c r="BX3" s="104" t="n">
        <f aca="false">AVERAGE(年間推移!E16:P16)</f>
        <v>0</v>
      </c>
      <c r="BY3" s="103" t="s">
        <v>59</v>
      </c>
      <c r="BZ3" s="104" t="n">
        <f aca="false">AVERAGE(年間推移!E23:P23)</f>
        <v>0</v>
      </c>
    </row>
    <row r="4" customFormat="false" ht="22.5" hidden="false" customHeight="true" outlineLevel="0" collapsed="false">
      <c r="A4" s="108" t="s">
        <v>107</v>
      </c>
      <c r="B4" s="109" t="s">
        <v>105</v>
      </c>
      <c r="D4" s="108" t="s">
        <v>107</v>
      </c>
      <c r="E4" s="109" t="s">
        <v>105</v>
      </c>
      <c r="G4" s="110" t="s">
        <v>108</v>
      </c>
      <c r="H4" s="110"/>
      <c r="I4" s="110"/>
      <c r="J4" s="111" t="n">
        <f aca="false">B13</f>
        <v>0</v>
      </c>
      <c r="L4" s="110" t="s">
        <v>108</v>
      </c>
      <c r="M4" s="110"/>
      <c r="N4" s="110"/>
      <c r="O4" s="111" t="n">
        <f aca="false">B14</f>
        <v>0</v>
      </c>
      <c r="BW4" s="103" t="s">
        <v>40</v>
      </c>
      <c r="BX4" s="104" t="n">
        <f aca="false">AVERAGE(年間推移!E17:P17)</f>
        <v>0</v>
      </c>
      <c r="BY4" s="103" t="s">
        <v>60</v>
      </c>
      <c r="BZ4" s="104" t="n">
        <f aca="false">AVERAGE(年間推移!E24:P24)</f>
        <v>0</v>
      </c>
    </row>
    <row r="5" customFormat="false" ht="22.5" hidden="false" customHeight="true" outlineLevel="0" collapsed="false">
      <c r="A5" s="112" t="s">
        <v>109</v>
      </c>
      <c r="B5" s="60" t="n">
        <f aca="false">AVERAGE(年間推移!E3:P3)</f>
        <v>0</v>
      </c>
      <c r="D5" s="113" t="s">
        <v>110</v>
      </c>
      <c r="E5" s="60" t="n">
        <f aca="false">AVERAGE(年間推移!E53:P53)</f>
        <v>0</v>
      </c>
      <c r="G5" s="114" t="s">
        <v>111</v>
      </c>
      <c r="H5" s="114"/>
      <c r="I5" s="114"/>
      <c r="J5" s="115" t="n">
        <f aca="false">E13</f>
        <v>0</v>
      </c>
      <c r="L5" s="114" t="s">
        <v>111</v>
      </c>
      <c r="M5" s="114"/>
      <c r="N5" s="114"/>
      <c r="O5" s="115" t="n">
        <f aca="false">E14</f>
        <v>0</v>
      </c>
      <c r="BW5" s="103" t="s">
        <v>46</v>
      </c>
      <c r="BX5" s="104" t="n">
        <f aca="false">AVERAGE(年間推移!E18:P18)</f>
        <v>0</v>
      </c>
      <c r="BY5" s="103" t="s">
        <v>61</v>
      </c>
      <c r="BZ5" s="104" t="n">
        <f aca="false">AVERAGE(年間推移!E25:P25)</f>
        <v>0</v>
      </c>
    </row>
    <row r="6" customFormat="false" ht="22.5" hidden="false" customHeight="true" outlineLevel="0" collapsed="false">
      <c r="A6" s="112" t="s">
        <v>112</v>
      </c>
      <c r="B6" s="60" t="n">
        <f aca="false">AVERAGE(年間推移!E5:P5)</f>
        <v>0</v>
      </c>
      <c r="D6" s="113" t="s">
        <v>113</v>
      </c>
      <c r="E6" s="60" t="n">
        <f aca="false">AVERAGE(年間推移!E54:P54)</f>
        <v>0</v>
      </c>
      <c r="G6" s="114" t="s">
        <v>114</v>
      </c>
      <c r="H6" s="114"/>
      <c r="I6" s="114"/>
      <c r="J6" s="115" t="n">
        <f aca="false">B33+E35</f>
        <v>0</v>
      </c>
      <c r="L6" s="114" t="s">
        <v>114</v>
      </c>
      <c r="M6" s="114"/>
      <c r="N6" s="114"/>
      <c r="O6" s="115" t="n">
        <f aca="false">B34+E36</f>
        <v>0</v>
      </c>
      <c r="BW6" s="103" t="s">
        <v>115</v>
      </c>
      <c r="BX6" s="104" t="n">
        <f aca="false">AVERAGE(年間推移!E31:P31)</f>
        <v>0</v>
      </c>
      <c r="BY6" s="103" t="s">
        <v>116</v>
      </c>
      <c r="BZ6" s="104" t="n">
        <f aca="false">AVERAGE(年間推移!E39:P39)</f>
        <v>0</v>
      </c>
    </row>
    <row r="7" customFormat="false" ht="22.5" hidden="false" customHeight="true" outlineLevel="0" collapsed="false">
      <c r="A7" s="112" t="s">
        <v>117</v>
      </c>
      <c r="B7" s="60" t="n">
        <f aca="false">AVERAGE(年間推移!E6:P6)</f>
        <v>0</v>
      </c>
      <c r="D7" s="113" t="s">
        <v>118</v>
      </c>
      <c r="E7" s="60" t="n">
        <f aca="false">AVERAGE(年間推移!E55:P55)</f>
        <v>0</v>
      </c>
      <c r="G7" s="114" t="s">
        <v>119</v>
      </c>
      <c r="H7" s="114"/>
      <c r="I7" s="114"/>
      <c r="J7" s="115" t="n">
        <f aca="false">J4-J5-J6</f>
        <v>0</v>
      </c>
      <c r="L7" s="114" t="s">
        <v>119</v>
      </c>
      <c r="M7" s="114"/>
      <c r="N7" s="114"/>
      <c r="O7" s="115" t="n">
        <f aca="false">O4-O5-O6</f>
        <v>0</v>
      </c>
      <c r="BW7" s="103" t="s">
        <v>120</v>
      </c>
      <c r="BX7" s="104" t="n">
        <f aca="false">AVERAGE(年間推移!E32:P32)</f>
        <v>0</v>
      </c>
      <c r="BY7" s="103" t="s">
        <v>121</v>
      </c>
      <c r="BZ7" s="104" t="n">
        <f aca="false">AVERAGE(年間推移!E40:P40)</f>
        <v>0</v>
      </c>
    </row>
    <row r="8" customFormat="false" ht="22.5" hidden="false" customHeight="true" outlineLevel="0" collapsed="false">
      <c r="A8" s="112" t="s">
        <v>122</v>
      </c>
      <c r="B8" s="60" t="n">
        <f aca="false">AVERAGE(年間推移!E7:P7)</f>
        <v>0</v>
      </c>
      <c r="D8" s="113" t="s">
        <v>123</v>
      </c>
      <c r="E8" s="60" t="n">
        <f aca="false">AVERAGE(年間推移!E56:P56)</f>
        <v>0</v>
      </c>
      <c r="G8" s="116" t="s">
        <v>124</v>
      </c>
      <c r="H8" s="116"/>
      <c r="I8" s="116"/>
      <c r="J8" s="117" t="n">
        <f aca="false">J5+J7</f>
        <v>0</v>
      </c>
      <c r="L8" s="116" t="s">
        <v>124</v>
      </c>
      <c r="M8" s="116"/>
      <c r="N8" s="116"/>
      <c r="O8" s="117" t="n">
        <f aca="false">O5+O7</f>
        <v>0</v>
      </c>
      <c r="BW8" s="103" t="s">
        <v>125</v>
      </c>
      <c r="BX8" s="104" t="n">
        <f aca="false">AVERAGE(年間推移!E33:P33)</f>
        <v>0</v>
      </c>
      <c r="BY8" s="103" t="s">
        <v>126</v>
      </c>
      <c r="BZ8" s="104" t="n">
        <f aca="false">AVERAGE(年間推移!E41:P41)</f>
        <v>0</v>
      </c>
    </row>
    <row r="9" customFormat="false" ht="22.5" hidden="false" customHeight="true" outlineLevel="0" collapsed="false">
      <c r="A9" s="112" t="s">
        <v>127</v>
      </c>
      <c r="B9" s="60" t="n">
        <f aca="false">AVERAGE(年間推移!E8:P8)</f>
        <v>0</v>
      </c>
      <c r="D9" s="113" t="s">
        <v>128</v>
      </c>
      <c r="E9" s="60" t="n">
        <f aca="false">AVERAGE(年間推移!E57:P57)</f>
        <v>0</v>
      </c>
      <c r="BW9" s="103" t="s">
        <v>129</v>
      </c>
      <c r="BX9" s="104" t="n">
        <f aca="false">AVERAGE(年間推移!E34:P34)</f>
        <v>0</v>
      </c>
      <c r="BY9" s="103" t="s">
        <v>130</v>
      </c>
      <c r="BZ9" s="104" t="n">
        <f aca="false">AVERAGE(年間推移!E42:P42)</f>
        <v>0</v>
      </c>
    </row>
    <row r="10" customFormat="false" ht="22.5" hidden="false" customHeight="true" outlineLevel="0" collapsed="false">
      <c r="A10" s="112" t="s">
        <v>131</v>
      </c>
      <c r="B10" s="60" t="n">
        <f aca="false">AVERAGE(年間推移!E10:P10)</f>
        <v>0</v>
      </c>
      <c r="D10" s="113" t="s">
        <v>132</v>
      </c>
      <c r="E10" s="60" t="n">
        <f aca="false">AVERAGE(年間推移!E58:P58)</f>
        <v>0</v>
      </c>
      <c r="G10" s="118" t="s">
        <v>133</v>
      </c>
      <c r="H10" s="118"/>
      <c r="I10" s="119" t="s">
        <v>134</v>
      </c>
      <c r="J10" s="119"/>
      <c r="L10" s="118" t="s">
        <v>133</v>
      </c>
      <c r="M10" s="118"/>
      <c r="N10" s="119" t="s">
        <v>134</v>
      </c>
      <c r="O10" s="119"/>
      <c r="BW10" s="103" t="s">
        <v>135</v>
      </c>
      <c r="BX10" s="104" t="n">
        <f aca="false">AVERAGE(年間推移!E35:P35)</f>
        <v>0</v>
      </c>
      <c r="BY10" s="103" t="s">
        <v>136</v>
      </c>
      <c r="BZ10" s="104" t="n">
        <f aca="false">AVERAGE(年間推移!E43:P43)</f>
        <v>0</v>
      </c>
    </row>
    <row r="11" customFormat="false" ht="22.5" hidden="false" customHeight="true" outlineLevel="0" collapsed="false">
      <c r="A11" s="112" t="s">
        <v>137</v>
      </c>
      <c r="B11" s="60" t="n">
        <f aca="false">AVERAGE(年間推移!E11:P11)</f>
        <v>0</v>
      </c>
      <c r="D11" s="113" t="s">
        <v>138</v>
      </c>
      <c r="E11" s="60" t="n">
        <f aca="false">AVERAGE(年間推移!E59:P59)</f>
        <v>0</v>
      </c>
      <c r="G11" s="120" t="n">
        <f aca="false">IFERROR((J6/J4)*100,0)</f>
        <v>0</v>
      </c>
      <c r="H11" s="120"/>
      <c r="I11" s="121" t="n">
        <f aca="false">IFERROR((J8/J4)*100,0)</f>
        <v>0</v>
      </c>
      <c r="J11" s="121"/>
      <c r="L11" s="120" t="n">
        <f aca="false">IFERROR((O6/O4)*100,0)</f>
        <v>0</v>
      </c>
      <c r="M11" s="120"/>
      <c r="N11" s="121" t="n">
        <f aca="false">IFERROR((O8/O4)*100,0)</f>
        <v>0</v>
      </c>
      <c r="O11" s="121"/>
      <c r="BW11" s="103" t="s">
        <v>139</v>
      </c>
      <c r="BX11" s="104" t="n">
        <f aca="false">AVERAGE(年間推移!E36:P36)</f>
        <v>0</v>
      </c>
      <c r="BY11" s="103" t="s">
        <v>140</v>
      </c>
      <c r="BZ11" s="104" t="n">
        <f aca="false">AVERAGE(年間推移!E44:P44)</f>
        <v>0</v>
      </c>
    </row>
    <row r="12" customFormat="false" ht="22.5" hidden="false" customHeight="true" outlineLevel="0" collapsed="false">
      <c r="A12" s="112" t="s">
        <v>141</v>
      </c>
      <c r="B12" s="60" t="n">
        <f aca="false">AVERAGE(年間推移!E12:P12)</f>
        <v>0</v>
      </c>
      <c r="D12" s="113" t="s">
        <v>142</v>
      </c>
      <c r="E12" s="60" t="n">
        <f aca="false">AVERAGE(年間推移!E60:P60)</f>
        <v>0</v>
      </c>
      <c r="G12" s="120"/>
      <c r="H12" s="120"/>
      <c r="I12" s="121"/>
      <c r="J12" s="121"/>
      <c r="L12" s="120"/>
      <c r="M12" s="120"/>
      <c r="N12" s="121"/>
      <c r="O12" s="121"/>
      <c r="BW12" s="103" t="s">
        <v>143</v>
      </c>
      <c r="BX12" s="104" t="n">
        <f aca="false">AVERAGE(年間推移!E37:P37)</f>
        <v>0</v>
      </c>
      <c r="BY12" s="103" t="s">
        <v>144</v>
      </c>
      <c r="BZ12" s="104" t="n">
        <f aca="false">AVERAGE(年間推移!E45:P45)</f>
        <v>0</v>
      </c>
    </row>
    <row r="13" customFormat="false" ht="22.5" hidden="false" customHeight="true" outlineLevel="0" collapsed="false">
      <c r="A13" s="122" t="s">
        <v>145</v>
      </c>
      <c r="B13" s="73" t="n">
        <f aca="false">SUM(B5:B8)</f>
        <v>0</v>
      </c>
      <c r="D13" s="122" t="s">
        <v>145</v>
      </c>
      <c r="E13" s="73" t="n">
        <f aca="false">SUM(E5:E8)</f>
        <v>0</v>
      </c>
      <c r="G13" s="123" t="s">
        <v>146</v>
      </c>
      <c r="H13" s="123"/>
      <c r="I13" s="124" t="s">
        <v>147</v>
      </c>
      <c r="J13" s="124"/>
      <c r="L13" s="123" t="s">
        <v>146</v>
      </c>
      <c r="M13" s="123"/>
      <c r="N13" s="124" t="s">
        <v>147</v>
      </c>
      <c r="O13" s="124"/>
      <c r="BW13" s="103" t="s">
        <v>148</v>
      </c>
      <c r="BX13" s="104" t="n">
        <f aca="false">AVERAGE(年間推移!E38:P38)</f>
        <v>0</v>
      </c>
      <c r="BY13" s="103" t="s">
        <v>149</v>
      </c>
      <c r="BZ13" s="104" t="n">
        <f aca="false">AVERAGE(年間推移!E46:P46)</f>
        <v>0</v>
      </c>
    </row>
    <row r="14" customFormat="false" ht="22.5" hidden="false" customHeight="true" outlineLevel="0" collapsed="false">
      <c r="A14" s="125" t="s">
        <v>150</v>
      </c>
      <c r="B14" s="81" t="n">
        <f aca="false">SUM(B9:B12)</f>
        <v>0</v>
      </c>
      <c r="D14" s="125" t="s">
        <v>150</v>
      </c>
      <c r="E14" s="81" t="n">
        <f aca="false">SUM(E9:E12)</f>
        <v>0</v>
      </c>
      <c r="BW14" s="103" t="s">
        <v>53</v>
      </c>
      <c r="BX14" s="29" t="n">
        <f aca="false">AVERAGE(年間推移!E20:P20)</f>
        <v>0</v>
      </c>
      <c r="BY14" s="103" t="s">
        <v>63</v>
      </c>
      <c r="BZ14" s="104" t="n">
        <f aca="false">AVERAGE(年間推移!E27:P27)</f>
        <v>0</v>
      </c>
    </row>
    <row r="15" customFormat="false" ht="22.5" hidden="false" customHeight="true" outlineLevel="0" collapsed="false">
      <c r="D15" s="21"/>
      <c r="E15" s="39"/>
      <c r="G15" s="106" t="s">
        <v>151</v>
      </c>
      <c r="H15" s="106"/>
      <c r="I15" s="106"/>
      <c r="J15" s="107" t="s">
        <v>105</v>
      </c>
      <c r="L15" s="106" t="s">
        <v>152</v>
      </c>
      <c r="M15" s="106"/>
      <c r="N15" s="106"/>
      <c r="O15" s="107" t="s">
        <v>105</v>
      </c>
      <c r="BW15" s="103" t="s">
        <v>56</v>
      </c>
      <c r="BX15" s="29" t="n">
        <f aca="false">AVERAGE(年間推移!E21:P21)</f>
        <v>0</v>
      </c>
      <c r="BY15" s="99" t="s">
        <v>65</v>
      </c>
      <c r="BZ15" s="104" t="n">
        <f aca="false">AVERAGE(年間推移!E28:P28)</f>
        <v>0</v>
      </c>
    </row>
    <row r="16" customFormat="false" ht="22.5" hidden="false" customHeight="true" outlineLevel="0" collapsed="false">
      <c r="A16" s="126" t="s">
        <v>153</v>
      </c>
      <c r="B16" s="126"/>
      <c r="D16" s="126" t="s">
        <v>153</v>
      </c>
      <c r="E16" s="126"/>
      <c r="G16" s="110" t="s">
        <v>108</v>
      </c>
      <c r="H16" s="110"/>
      <c r="I16" s="110"/>
      <c r="J16" s="111" t="n">
        <f aca="false">B13+B49</f>
        <v>0</v>
      </c>
      <c r="L16" s="110" t="s">
        <v>108</v>
      </c>
      <c r="M16" s="110"/>
      <c r="N16" s="110"/>
      <c r="O16" s="111" t="n">
        <f aca="false">B14+B50</f>
        <v>0</v>
      </c>
      <c r="BW16" s="99" t="s">
        <v>50</v>
      </c>
      <c r="BX16" s="29" t="n">
        <f aca="false">AVERAGE(年間推移!E19:P19)</f>
        <v>0</v>
      </c>
      <c r="BY16" s="99" t="s">
        <v>62</v>
      </c>
      <c r="BZ16" s="104" t="n">
        <f aca="false">AVERAGE(年間推移!E26:P26)</f>
        <v>0</v>
      </c>
    </row>
    <row r="17" customFormat="false" ht="22.5" hidden="false" customHeight="true" outlineLevel="0" collapsed="false">
      <c r="A17" s="99" t="s">
        <v>154</v>
      </c>
      <c r="D17" s="99" t="s">
        <v>19</v>
      </c>
      <c r="G17" s="114" t="s">
        <v>111</v>
      </c>
      <c r="H17" s="114"/>
      <c r="I17" s="114"/>
      <c r="J17" s="115" t="n">
        <f aca="false">E13+E47</f>
        <v>0</v>
      </c>
      <c r="L17" s="114" t="s">
        <v>111</v>
      </c>
      <c r="M17" s="114"/>
      <c r="N17" s="114"/>
      <c r="O17" s="115" t="n">
        <f aca="false">E14+E48</f>
        <v>0</v>
      </c>
    </row>
    <row r="18" customFormat="false" ht="22.5" hidden="false" customHeight="true" outlineLevel="0" collapsed="false">
      <c r="A18" s="127" t="s">
        <v>107</v>
      </c>
      <c r="B18" s="128" t="s">
        <v>105</v>
      </c>
      <c r="D18" s="127" t="s">
        <v>107</v>
      </c>
      <c r="E18" s="128" t="s">
        <v>105</v>
      </c>
      <c r="G18" s="114" t="s">
        <v>114</v>
      </c>
      <c r="H18" s="114"/>
      <c r="I18" s="114"/>
      <c r="J18" s="115" t="n">
        <f aca="false">B33+E35+B65</f>
        <v>0</v>
      </c>
      <c r="L18" s="114" t="s">
        <v>114</v>
      </c>
      <c r="M18" s="114"/>
      <c r="N18" s="114"/>
      <c r="O18" s="115" t="n">
        <f aca="false">B34+E36+B66</f>
        <v>0</v>
      </c>
    </row>
    <row r="19" customFormat="false" ht="22.5" hidden="false" customHeight="true" outlineLevel="0" collapsed="false">
      <c r="A19" s="113" t="s">
        <v>28</v>
      </c>
      <c r="B19" s="60" t="n">
        <f aca="false">AVERAGE(年間推移!E15:P15)</f>
        <v>0</v>
      </c>
      <c r="D19" s="113" t="s">
        <v>115</v>
      </c>
      <c r="E19" s="60" t="n">
        <f aca="false">AVERAGE(年間推移!E31:P31)</f>
        <v>0</v>
      </c>
      <c r="G19" s="114" t="s">
        <v>119</v>
      </c>
      <c r="H19" s="114"/>
      <c r="I19" s="114"/>
      <c r="J19" s="115" t="n">
        <f aca="false">J16-J17-J18</f>
        <v>0</v>
      </c>
      <c r="L19" s="114" t="s">
        <v>119</v>
      </c>
      <c r="M19" s="114"/>
      <c r="N19" s="114"/>
      <c r="O19" s="115" t="n">
        <f aca="false">O16-O17-O18</f>
        <v>0</v>
      </c>
    </row>
    <row r="20" customFormat="false" ht="22.5" hidden="false" customHeight="true" outlineLevel="0" collapsed="false">
      <c r="A20" s="113" t="s">
        <v>34</v>
      </c>
      <c r="B20" s="60" t="n">
        <f aca="false">AVERAGE(年間推移!E16:P16)</f>
        <v>0</v>
      </c>
      <c r="D20" s="113" t="s">
        <v>120</v>
      </c>
      <c r="E20" s="60" t="n">
        <f aca="false">AVERAGE(年間推移!E32:P32)</f>
        <v>0</v>
      </c>
      <c r="G20" s="116" t="s">
        <v>124</v>
      </c>
      <c r="H20" s="116"/>
      <c r="I20" s="116"/>
      <c r="J20" s="117" t="n">
        <f aca="false">J17+J19</f>
        <v>0</v>
      </c>
      <c r="L20" s="116" t="s">
        <v>124</v>
      </c>
      <c r="M20" s="116"/>
      <c r="N20" s="116"/>
      <c r="O20" s="117" t="n">
        <f aca="false">O17+O19</f>
        <v>0</v>
      </c>
    </row>
    <row r="21" customFormat="false" ht="22.5" hidden="false" customHeight="true" outlineLevel="0" collapsed="false">
      <c r="A21" s="113" t="s">
        <v>40</v>
      </c>
      <c r="B21" s="60" t="n">
        <f aca="false">AVERAGE(年間推移!E17:P17)</f>
        <v>0</v>
      </c>
      <c r="D21" s="113" t="s">
        <v>125</v>
      </c>
      <c r="E21" s="60" t="n">
        <f aca="false">AVERAGE(年間推移!E33:P33)</f>
        <v>0</v>
      </c>
    </row>
    <row r="22" customFormat="false" ht="22.5" hidden="false" customHeight="true" outlineLevel="0" collapsed="false">
      <c r="A22" s="113" t="s">
        <v>46</v>
      </c>
      <c r="B22" s="60" t="n">
        <f aca="false">AVERAGE(年間推移!E18:P18)</f>
        <v>0</v>
      </c>
      <c r="D22" s="113" t="s">
        <v>129</v>
      </c>
      <c r="E22" s="60" t="n">
        <f aca="false">AVERAGE(年間推移!E34:P34)</f>
        <v>0</v>
      </c>
      <c r="G22" s="118" t="s">
        <v>133</v>
      </c>
      <c r="H22" s="118"/>
      <c r="I22" s="119" t="s">
        <v>134</v>
      </c>
      <c r="J22" s="119"/>
      <c r="L22" s="118" t="s">
        <v>133</v>
      </c>
      <c r="M22" s="118"/>
      <c r="N22" s="119" t="s">
        <v>134</v>
      </c>
      <c r="O22" s="119"/>
    </row>
    <row r="23" customFormat="false" ht="22.5" hidden="false" customHeight="true" outlineLevel="0" collapsed="false">
      <c r="A23" s="113" t="s">
        <v>50</v>
      </c>
      <c r="B23" s="60" t="n">
        <f aca="false">AVERAGE(年間推移!E19:P19)</f>
        <v>0</v>
      </c>
      <c r="D23" s="113" t="s">
        <v>135</v>
      </c>
      <c r="E23" s="60" t="n">
        <f aca="false">AVERAGE(年間推移!E35:P35)</f>
        <v>0</v>
      </c>
      <c r="G23" s="120" t="n">
        <f aca="false">IFERROR((J18/J16)*100,0)</f>
        <v>0</v>
      </c>
      <c r="H23" s="120"/>
      <c r="I23" s="121" t="n">
        <f aca="false">IFERROR((J20/J16)*100,0)</f>
        <v>0</v>
      </c>
      <c r="J23" s="121"/>
      <c r="L23" s="120" t="n">
        <f aca="false">IFERROR((O18/O16)*100,0)</f>
        <v>0</v>
      </c>
      <c r="M23" s="120"/>
      <c r="N23" s="121" t="n">
        <f aca="false">IFERROR((O20/O16)*100,0)</f>
        <v>0</v>
      </c>
      <c r="O23" s="121"/>
    </row>
    <row r="24" customFormat="false" ht="22.5" hidden="false" customHeight="true" outlineLevel="0" collapsed="false">
      <c r="A24" s="113" t="s">
        <v>53</v>
      </c>
      <c r="B24" s="60" t="n">
        <f aca="false">AVERAGE(年間推移!E20:P20)</f>
        <v>0</v>
      </c>
      <c r="D24" s="113" t="s">
        <v>139</v>
      </c>
      <c r="E24" s="60" t="n">
        <f aca="false">AVERAGE(年間推移!E36:P36)</f>
        <v>0</v>
      </c>
      <c r="G24" s="120"/>
      <c r="H24" s="120"/>
      <c r="I24" s="121"/>
      <c r="J24" s="121"/>
      <c r="L24" s="120"/>
      <c r="M24" s="120"/>
      <c r="N24" s="121"/>
      <c r="O24" s="121"/>
    </row>
    <row r="25" customFormat="false" ht="22.5" hidden="false" customHeight="true" outlineLevel="0" collapsed="false">
      <c r="A25" s="113" t="s">
        <v>56</v>
      </c>
      <c r="B25" s="60" t="n">
        <f aca="false">AVERAGE(年間推移!E21:P21)</f>
        <v>0</v>
      </c>
      <c r="D25" s="113" t="s">
        <v>143</v>
      </c>
      <c r="E25" s="60" t="n">
        <f aca="false">AVERAGE(年間推移!E37:P37)</f>
        <v>0</v>
      </c>
      <c r="G25" s="123" t="s">
        <v>146</v>
      </c>
      <c r="H25" s="123"/>
      <c r="I25" s="124" t="s">
        <v>147</v>
      </c>
      <c r="J25" s="124"/>
      <c r="L25" s="123" t="s">
        <v>146</v>
      </c>
      <c r="M25" s="123"/>
      <c r="N25" s="124" t="s">
        <v>147</v>
      </c>
      <c r="O25" s="124"/>
    </row>
    <row r="26" customFormat="false" ht="22.5" hidden="false" customHeight="true" outlineLevel="0" collapsed="false">
      <c r="A26" s="113" t="s">
        <v>58</v>
      </c>
      <c r="B26" s="60" t="n">
        <f aca="false">AVERAGE(年間推移!E22:P22)</f>
        <v>0</v>
      </c>
      <c r="D26" s="113" t="s">
        <v>148</v>
      </c>
      <c r="E26" s="60" t="n">
        <f aca="false">AVERAGE(年間推移!E38:P38)</f>
        <v>0</v>
      </c>
    </row>
    <row r="27" customFormat="false" ht="22.5" hidden="false" customHeight="true" outlineLevel="0" collapsed="false">
      <c r="A27" s="113" t="s">
        <v>59</v>
      </c>
      <c r="B27" s="60" t="n">
        <f aca="false">AVERAGE(年間推移!E23:P23)</f>
        <v>0</v>
      </c>
      <c r="D27" s="113" t="s">
        <v>116</v>
      </c>
      <c r="E27" s="60" t="n">
        <f aca="false">AVERAGE(年間推移!E39:P39)</f>
        <v>0</v>
      </c>
    </row>
    <row r="28" customFormat="false" ht="22.5" hidden="false" customHeight="true" outlineLevel="0" collapsed="false">
      <c r="A28" s="113" t="s">
        <v>60</v>
      </c>
      <c r="B28" s="60" t="n">
        <f aca="false">AVERAGE(年間推移!E24:P24)</f>
        <v>0</v>
      </c>
      <c r="D28" s="113" t="s">
        <v>121</v>
      </c>
      <c r="E28" s="60" t="n">
        <f aca="false">AVERAGE(年間推移!E40:P40)</f>
        <v>0</v>
      </c>
    </row>
    <row r="29" customFormat="false" ht="22.5" hidden="false" customHeight="true" outlineLevel="0" collapsed="false">
      <c r="A29" s="113" t="s">
        <v>61</v>
      </c>
      <c r="B29" s="60" t="n">
        <f aca="false">AVERAGE(年間推移!E25:P25)</f>
        <v>0</v>
      </c>
      <c r="D29" s="113" t="s">
        <v>126</v>
      </c>
      <c r="E29" s="60" t="n">
        <f aca="false">AVERAGE(年間推移!E41:P41)</f>
        <v>0</v>
      </c>
    </row>
    <row r="30" customFormat="false" ht="22.5" hidden="false" customHeight="true" outlineLevel="0" collapsed="false">
      <c r="A30" s="113" t="s">
        <v>62</v>
      </c>
      <c r="B30" s="60" t="n">
        <f aca="false">AVERAGE(年間推移!E26:P26)</f>
        <v>0</v>
      </c>
      <c r="D30" s="113" t="s">
        <v>130</v>
      </c>
      <c r="E30" s="60" t="n">
        <f aca="false">AVERAGE(年間推移!E42:P42)</f>
        <v>0</v>
      </c>
    </row>
    <row r="31" customFormat="false" ht="22.5" hidden="false" customHeight="true" outlineLevel="0" collapsed="false">
      <c r="A31" s="113" t="s">
        <v>63</v>
      </c>
      <c r="B31" s="60" t="n">
        <f aca="false">AVERAGE(年間推移!E27:P27)</f>
        <v>0</v>
      </c>
      <c r="D31" s="113" t="s">
        <v>136</v>
      </c>
      <c r="E31" s="60" t="n">
        <f aca="false">AVERAGE(年間推移!E43:P43)</f>
        <v>0</v>
      </c>
    </row>
    <row r="32" customFormat="false" ht="22.5" hidden="false" customHeight="true" outlineLevel="0" collapsed="false">
      <c r="A32" s="113" t="s">
        <v>65</v>
      </c>
      <c r="B32" s="60" t="n">
        <f aca="false">AVERAGE(年間推移!E28:P28)</f>
        <v>0</v>
      </c>
      <c r="D32" s="113" t="s">
        <v>140</v>
      </c>
      <c r="E32" s="60" t="n">
        <f aca="false">AVERAGE(年間推移!E44:P44)</f>
        <v>0</v>
      </c>
    </row>
    <row r="33" customFormat="false" ht="22.5" hidden="false" customHeight="true" outlineLevel="0" collapsed="false">
      <c r="A33" s="122" t="s">
        <v>145</v>
      </c>
      <c r="B33" s="73" t="n">
        <f aca="false">SUM(B19:B25)</f>
        <v>0</v>
      </c>
      <c r="D33" s="113" t="s">
        <v>144</v>
      </c>
      <c r="E33" s="60" t="n">
        <f aca="false">AVERAGE(年間推移!E45:P45)</f>
        <v>0</v>
      </c>
    </row>
    <row r="34" customFormat="false" ht="22.5" hidden="false" customHeight="true" outlineLevel="0" collapsed="false">
      <c r="A34" s="125" t="s">
        <v>150</v>
      </c>
      <c r="B34" s="81" t="n">
        <f aca="false">SUM(B26:B32)</f>
        <v>0</v>
      </c>
      <c r="D34" s="113" t="s">
        <v>149</v>
      </c>
      <c r="E34" s="60" t="n">
        <f aca="false">AVERAGE(年間推移!E46:P46)</f>
        <v>0</v>
      </c>
    </row>
    <row r="35" customFormat="false" ht="22.5" hidden="false" customHeight="true" outlineLevel="0" collapsed="false">
      <c r="D35" s="122" t="s">
        <v>145</v>
      </c>
      <c r="E35" s="73" t="n">
        <f aca="false">SUM(E19:E26)</f>
        <v>0</v>
      </c>
    </row>
    <row r="36" customFormat="false" ht="22.5" hidden="false" customHeight="true" outlineLevel="0" collapsed="false">
      <c r="D36" s="125" t="s">
        <v>150</v>
      </c>
      <c r="E36" s="81" t="n">
        <f aca="false">SUM(E27:E34)</f>
        <v>0</v>
      </c>
    </row>
    <row r="37" customFormat="false" ht="22.5" hidden="false" customHeight="true" outlineLevel="0" collapsed="false"/>
    <row r="38" customFormat="false" ht="22.5" hidden="false" customHeight="true" outlineLevel="0" collapsed="false"/>
    <row r="39" customFormat="false" ht="22.5" hidden="false" customHeight="true" outlineLevel="0" collapsed="false">
      <c r="A39" s="101" t="s">
        <v>155</v>
      </c>
      <c r="D39" s="21"/>
      <c r="E39" s="21"/>
    </row>
    <row r="40" customFormat="false" ht="22.5" hidden="false" customHeight="true" outlineLevel="0" collapsed="false">
      <c r="A40" s="105" t="s">
        <v>16</v>
      </c>
      <c r="B40" s="105"/>
    </row>
    <row r="41" customFormat="false" ht="22.5" hidden="false" customHeight="true" outlineLevel="0" collapsed="false">
      <c r="A41" s="108" t="s">
        <v>107</v>
      </c>
      <c r="B41" s="109" t="s">
        <v>105</v>
      </c>
      <c r="E41" s="29"/>
    </row>
    <row r="42" customFormat="false" ht="22.5" hidden="false" customHeight="true" outlineLevel="0" collapsed="false">
      <c r="A42" s="113" t="s">
        <v>156</v>
      </c>
      <c r="B42" s="60" t="n">
        <f aca="false">SUM(年間推移!E4:P4)</f>
        <v>0</v>
      </c>
      <c r="E42" s="29"/>
    </row>
    <row r="43" customFormat="false" ht="22.5" hidden="false" customHeight="true" outlineLevel="0" collapsed="false">
      <c r="A43" s="113" t="s">
        <v>157</v>
      </c>
      <c r="B43" s="60" t="n">
        <f aca="false">SUM(年間推移!E9:P9)</f>
        <v>0</v>
      </c>
      <c r="E43" s="29"/>
    </row>
    <row r="44" customFormat="false" ht="22.5" hidden="false" customHeight="true" outlineLevel="0" collapsed="false">
      <c r="A44" s="113"/>
      <c r="B44" s="60"/>
      <c r="E44" s="29"/>
    </row>
    <row r="45" customFormat="false" ht="22.5" hidden="false" customHeight="true" outlineLevel="0" collapsed="false">
      <c r="A45" s="113"/>
      <c r="B45" s="60"/>
      <c r="E45" s="29"/>
    </row>
    <row r="46" customFormat="false" ht="22.5" hidden="false" customHeight="true" outlineLevel="0" collapsed="false">
      <c r="A46" s="113"/>
      <c r="B46" s="60"/>
      <c r="E46" s="29"/>
    </row>
    <row r="47" customFormat="false" ht="22.5" hidden="false" customHeight="true" outlineLevel="0" collapsed="false">
      <c r="A47" s="113"/>
      <c r="B47" s="60"/>
      <c r="E47" s="39"/>
    </row>
    <row r="48" customFormat="false" ht="22.5" hidden="false" customHeight="true" outlineLevel="0" collapsed="false">
      <c r="A48" s="122" t="s">
        <v>145</v>
      </c>
      <c r="B48" s="73" t="n">
        <f aca="false">B42</f>
        <v>0</v>
      </c>
      <c r="E48" s="39"/>
    </row>
    <row r="49" customFormat="false" ht="22.5" hidden="false" customHeight="true" outlineLevel="0" collapsed="false">
      <c r="A49" s="125" t="s">
        <v>150</v>
      </c>
      <c r="B49" s="81" t="n">
        <f aca="false">B43</f>
        <v>0</v>
      </c>
    </row>
    <row r="50" customFormat="false" ht="22.5" hidden="false" customHeight="true" outlineLevel="0" collapsed="false">
      <c r="A50" s="21"/>
      <c r="B50" s="39"/>
    </row>
    <row r="51" customFormat="false" ht="22.5" hidden="false" customHeight="true" outlineLevel="0" collapsed="false"/>
    <row r="52" customFormat="false" ht="22.5" hidden="false" customHeight="true" outlineLevel="0" collapsed="false">
      <c r="A52" s="129"/>
      <c r="B52" s="129"/>
    </row>
    <row r="53" customFormat="false" ht="22.5" hidden="false" customHeight="true" outlineLevel="0" collapsed="false"/>
    <row r="54" customFormat="false" ht="22.5" hidden="false" customHeight="true" outlineLevel="0" collapsed="false"/>
    <row r="55" customFormat="false" ht="22.5" hidden="false" customHeight="true" outlineLevel="0" collapsed="false">
      <c r="B55" s="29"/>
    </row>
    <row r="56" customFormat="false" ht="22.5" hidden="false" customHeight="true" outlineLevel="0" collapsed="false">
      <c r="B56" s="29"/>
    </row>
    <row r="57" customFormat="false" ht="22.5" hidden="false" customHeight="true" outlineLevel="0" collapsed="false">
      <c r="B57" s="29"/>
    </row>
    <row r="58" customFormat="false" ht="22.5" hidden="false" customHeight="true" outlineLevel="0" collapsed="false">
      <c r="B58" s="130" t="s">
        <v>158</v>
      </c>
      <c r="E58" s="131"/>
    </row>
    <row r="59" customFormat="false" ht="22.5" hidden="false" customHeight="true" outlineLevel="0" collapsed="false">
      <c r="B59" s="130" t="s">
        <v>77</v>
      </c>
      <c r="E59" s="131" t="n">
        <f aca="false">年間推移!Q73</f>
        <v>0</v>
      </c>
    </row>
    <row r="60" customFormat="false" ht="22.5" hidden="false" customHeight="true" outlineLevel="0" collapsed="false">
      <c r="B60" s="130" t="s">
        <v>88</v>
      </c>
      <c r="E60" s="131" t="n">
        <f aca="false">年間推移!Q74</f>
        <v>0</v>
      </c>
    </row>
    <row r="61" customFormat="false" ht="22.5" hidden="false" customHeight="true" outlineLevel="0" collapsed="false">
      <c r="B61" s="132" t="s">
        <v>159</v>
      </c>
      <c r="E61" s="131" t="n">
        <f aca="false">年間推移!Q75</f>
        <v>0</v>
      </c>
    </row>
    <row r="62" customFormat="false" ht="22.5" hidden="false" customHeight="true" outlineLevel="0" collapsed="false">
      <c r="B62" s="29"/>
    </row>
    <row r="63" customFormat="false" ht="22.5" hidden="false" customHeight="true" outlineLevel="0" collapsed="false">
      <c r="B63" s="29"/>
    </row>
    <row r="64" customFormat="false" ht="22.5" hidden="false" customHeight="true" outlineLevel="0" collapsed="false">
      <c r="B64" s="29"/>
    </row>
    <row r="65" customFormat="false" ht="22.5" hidden="false" customHeight="true" outlineLevel="0" collapsed="false">
      <c r="A65" s="21"/>
      <c r="B65" s="39"/>
    </row>
    <row r="66" customFormat="false" ht="22.5" hidden="false" customHeight="true" outlineLevel="0" collapsed="false">
      <c r="A66" s="21"/>
      <c r="B66" s="39"/>
    </row>
    <row r="67" customFormat="false" ht="22.5" hidden="false" customHeight="true" outlineLevel="0" collapsed="false"/>
    <row r="68" customFormat="false" ht="22.5" hidden="false" customHeight="true" outlineLevel="0" collapsed="false"/>
    <row r="69" customFormat="false" ht="22.5" hidden="false" customHeight="true" outlineLevel="0" collapsed="false"/>
    <row r="70" customFormat="false" ht="22.5" hidden="false" customHeight="true" outlineLevel="0" collapsed="false"/>
    <row r="71" customFormat="false" ht="22.5" hidden="false" customHeight="true" outlineLevel="0" collapsed="false"/>
    <row r="72" customFormat="false" ht="22.5" hidden="false" customHeight="true" outlineLevel="0" collapsed="false"/>
    <row r="73" customFormat="false" ht="22.5" hidden="false" customHeight="true" outlineLevel="0" collapsed="false"/>
    <row r="74" customFormat="false" ht="22.5" hidden="false" customHeight="true" outlineLevel="0" collapsed="false"/>
    <row r="75" customFormat="false" ht="22.5" hidden="false" customHeight="true" outlineLevel="0" collapsed="false"/>
    <row r="76" customFormat="false" ht="22.5" hidden="false" customHeight="true" outlineLevel="0" collapsed="false"/>
    <row r="77" customFormat="false" ht="22.5" hidden="false" customHeight="true" outlineLevel="0" collapsed="false"/>
    <row r="78" customFormat="false" ht="22.5" hidden="false" customHeight="true" outlineLevel="0" collapsed="false"/>
    <row r="79" customFormat="false" ht="22.5" hidden="false" customHeight="true" outlineLevel="0" collapsed="false"/>
    <row r="80" customFormat="false" ht="22.5" hidden="false" customHeight="true" outlineLevel="0" collapsed="false"/>
    <row r="81" customFormat="false" ht="22.5" hidden="false" customHeight="true" outlineLevel="0" collapsed="false"/>
    <row r="82" customFormat="false" ht="22.5" hidden="false" customHeight="true" outlineLevel="0" collapsed="false"/>
    <row r="83" customFormat="false" ht="22.5" hidden="false" customHeight="true" outlineLevel="0" collapsed="false"/>
    <row r="84" customFormat="false" ht="22.5" hidden="false" customHeight="true" outlineLevel="0" collapsed="false"/>
    <row r="85" customFormat="false" ht="22.5" hidden="false" customHeight="true" outlineLevel="0" collapsed="false"/>
    <row r="86" customFormat="false" ht="22.5" hidden="false" customHeight="true" outlineLevel="0" collapsed="false"/>
    <row r="87" customFormat="false" ht="22.5" hidden="false" customHeight="true" outlineLevel="0" collapsed="false"/>
    <row r="88" customFormat="false" ht="22.5" hidden="false" customHeight="true" outlineLevel="0" collapsed="false"/>
    <row r="89" customFormat="false" ht="22.5" hidden="false" customHeight="true" outlineLevel="0" collapsed="false"/>
    <row r="90" customFormat="false" ht="22.5" hidden="false" customHeight="true" outlineLevel="0" collapsed="false"/>
    <row r="91" customFormat="false" ht="22.5" hidden="false" customHeight="true" outlineLevel="0" collapsed="false"/>
    <row r="92" customFormat="false" ht="22.5" hidden="false" customHeight="true" outlineLevel="0" collapsed="false"/>
    <row r="93" customFormat="false" ht="22.5" hidden="false" customHeight="true" outlineLevel="0" collapsed="false"/>
    <row r="94" customFormat="false" ht="22.5" hidden="false" customHeight="true" outlineLevel="0" collapsed="false"/>
    <row r="95" customFormat="false" ht="22.5" hidden="false" customHeight="true" outlineLevel="0" collapsed="false"/>
    <row r="96" customFormat="false" ht="22.5" hidden="false" customHeight="true" outlineLevel="0" collapsed="false"/>
    <row r="97" customFormat="false" ht="22.5" hidden="false" customHeight="true" outlineLevel="0" collapsed="false"/>
    <row r="98" customFormat="false" ht="22.5" hidden="false" customHeight="true" outlineLevel="0" collapsed="false"/>
    <row r="99" customFormat="false" ht="22.5" hidden="false" customHeight="true" outlineLevel="0" collapsed="false"/>
    <row r="100" customFormat="false" ht="22.5" hidden="false" customHeight="true" outlineLevel="0" collapsed="false"/>
    <row r="101" customFormat="false" ht="22.5" hidden="false" customHeight="true" outlineLevel="0" collapsed="false"/>
    <row r="102" customFormat="false" ht="22.5" hidden="false" customHeight="true" outlineLevel="0" collapsed="false"/>
    <row r="103" customFormat="false" ht="22.5" hidden="false" customHeight="true" outlineLevel="0" collapsed="false"/>
    <row r="104" customFormat="false" ht="22.5" hidden="false" customHeight="true" outlineLevel="0" collapsed="false"/>
    <row r="105" customFormat="false" ht="22.5" hidden="false" customHeight="true" outlineLevel="0" collapsed="false"/>
    <row r="106" customFormat="false" ht="22.5" hidden="false" customHeight="true" outlineLevel="0" collapsed="false"/>
    <row r="107" customFormat="false" ht="22.5" hidden="false" customHeight="true" outlineLevel="0" collapsed="false"/>
    <row r="108" customFormat="false" ht="22.5" hidden="false" customHeight="true" outlineLevel="0" collapsed="false"/>
    <row r="109" customFormat="false" ht="22.5" hidden="false" customHeight="true" outlineLevel="0" collapsed="false"/>
    <row r="110" customFormat="false" ht="22.5" hidden="false" customHeight="true" outlineLevel="0" collapsed="false"/>
    <row r="111" customFormat="false" ht="22.5" hidden="false" customHeight="true" outlineLevel="0" collapsed="false"/>
    <row r="112" customFormat="false" ht="22.5" hidden="false" customHeight="true" outlineLevel="0" collapsed="false"/>
    <row r="113" customFormat="false" ht="22.5" hidden="false" customHeight="true" outlineLevel="0" collapsed="false"/>
    <row r="114" customFormat="false" ht="22.5" hidden="false" customHeight="true" outlineLevel="0" collapsed="false"/>
    <row r="115" customFormat="false" ht="22.5" hidden="false" customHeight="true" outlineLevel="0" collapsed="false"/>
    <row r="116" customFormat="false" ht="22.5" hidden="false" customHeight="true" outlineLevel="0" collapsed="false"/>
    <row r="117" customFormat="false" ht="22.5" hidden="false" customHeight="true" outlineLevel="0" collapsed="false"/>
    <row r="118" customFormat="false" ht="22.5" hidden="false" customHeight="true" outlineLevel="0" collapsed="false"/>
    <row r="119" customFormat="false" ht="22.5" hidden="false" customHeight="true" outlineLevel="0" collapsed="false"/>
    <row r="120" customFormat="false" ht="22.5" hidden="false" customHeight="true" outlineLevel="0" collapsed="false"/>
    <row r="121" customFormat="false" ht="22.5" hidden="false" customHeight="true" outlineLevel="0" collapsed="false"/>
    <row r="122" customFormat="false" ht="22.5" hidden="false" customHeight="true" outlineLevel="0" collapsed="false"/>
    <row r="123" customFormat="false" ht="22.5" hidden="false" customHeight="true" outlineLevel="0" collapsed="false"/>
    <row r="124" customFormat="false" ht="22.5" hidden="false" customHeight="true" outlineLevel="0" collapsed="false"/>
    <row r="125" customFormat="false" ht="22.5" hidden="false" customHeight="true" outlineLevel="0" collapsed="false"/>
    <row r="126" customFormat="false" ht="22.5" hidden="false" customHeight="true" outlineLevel="0" collapsed="false"/>
    <row r="127" customFormat="false" ht="22.5" hidden="false" customHeight="true" outlineLevel="0" collapsed="false"/>
    <row r="128" customFormat="false" ht="22.5" hidden="false" customHeight="true" outlineLevel="0" collapsed="false"/>
    <row r="129" customFormat="false" ht="22.5" hidden="false" customHeight="true" outlineLevel="0" collapsed="false"/>
    <row r="130" customFormat="false" ht="22.5" hidden="false" customHeight="true" outlineLevel="0" collapsed="false"/>
    <row r="131" customFormat="false" ht="22.5" hidden="false" customHeight="true" outlineLevel="0" collapsed="false"/>
    <row r="132" customFormat="false" ht="22.5" hidden="false" customHeight="true" outlineLevel="0" collapsed="false"/>
    <row r="133" customFormat="false" ht="22.5" hidden="false" customHeight="true" outlineLevel="0" collapsed="false"/>
    <row r="134" customFormat="false" ht="22.5" hidden="false" customHeight="true" outlineLevel="0" collapsed="false"/>
    <row r="135" customFormat="false" ht="22.5" hidden="false" customHeight="true" outlineLevel="0" collapsed="false"/>
    <row r="136" customFormat="false" ht="22.5" hidden="false" customHeight="true" outlineLevel="0" collapsed="false"/>
    <row r="137" customFormat="false" ht="22.5" hidden="false" customHeight="true" outlineLevel="0" collapsed="false"/>
    <row r="138" customFormat="false" ht="22.5" hidden="false" customHeight="true" outlineLevel="0" collapsed="false"/>
    <row r="139" customFormat="false" ht="22.5" hidden="false" customHeight="true" outlineLevel="0" collapsed="false"/>
    <row r="140" customFormat="false" ht="22.5" hidden="false" customHeight="true" outlineLevel="0" collapsed="false"/>
    <row r="141" customFormat="false" ht="22.5" hidden="false" customHeight="true" outlineLevel="0" collapsed="false"/>
    <row r="142" customFormat="false" ht="22.5" hidden="false" customHeight="true" outlineLevel="0" collapsed="false"/>
    <row r="143" customFormat="false" ht="22.5" hidden="false" customHeight="true" outlineLevel="0" collapsed="false"/>
    <row r="144" customFormat="false" ht="22.5" hidden="false" customHeight="true" outlineLevel="0" collapsed="false"/>
    <row r="145" customFormat="false" ht="22.5" hidden="false" customHeight="true" outlineLevel="0" collapsed="false"/>
    <row r="146" customFormat="false" ht="22.5" hidden="false" customHeight="true" outlineLevel="0" collapsed="false"/>
    <row r="147" customFormat="false" ht="22.5" hidden="false" customHeight="true" outlineLevel="0" collapsed="false"/>
    <row r="148" customFormat="false" ht="22.5" hidden="false" customHeight="true" outlineLevel="0" collapsed="false"/>
    <row r="149" customFormat="false" ht="22.5" hidden="false" customHeight="true" outlineLevel="0" collapsed="false"/>
    <row r="150" customFormat="false" ht="22.5" hidden="false" customHeight="true" outlineLevel="0" collapsed="false"/>
  </sheetData>
  <mergeCells count="55">
    <mergeCell ref="A1:C1"/>
    <mergeCell ref="A3:B3"/>
    <mergeCell ref="D3:E3"/>
    <mergeCell ref="G3:I3"/>
    <mergeCell ref="L3:N3"/>
    <mergeCell ref="G4:I4"/>
    <mergeCell ref="L4:N4"/>
    <mergeCell ref="G5:I5"/>
    <mergeCell ref="L5:N5"/>
    <mergeCell ref="G6:I6"/>
    <mergeCell ref="L6:N6"/>
    <mergeCell ref="G7:I7"/>
    <mergeCell ref="L7:N7"/>
    <mergeCell ref="G8:I8"/>
    <mergeCell ref="L8:N8"/>
    <mergeCell ref="G10:H10"/>
    <mergeCell ref="I10:J10"/>
    <mergeCell ref="L10:M10"/>
    <mergeCell ref="N10:O10"/>
    <mergeCell ref="G11:H12"/>
    <mergeCell ref="I11:J12"/>
    <mergeCell ref="L11:M12"/>
    <mergeCell ref="N11:O12"/>
    <mergeCell ref="G13:H13"/>
    <mergeCell ref="I13:J13"/>
    <mergeCell ref="L13:M13"/>
    <mergeCell ref="N13:O13"/>
    <mergeCell ref="G15:I15"/>
    <mergeCell ref="L15:N15"/>
    <mergeCell ref="A16:B16"/>
    <mergeCell ref="D16:E16"/>
    <mergeCell ref="G16:I16"/>
    <mergeCell ref="L16:N16"/>
    <mergeCell ref="G17:I17"/>
    <mergeCell ref="L17:N17"/>
    <mergeCell ref="G18:I18"/>
    <mergeCell ref="L18:N18"/>
    <mergeCell ref="G19:I19"/>
    <mergeCell ref="L19:N19"/>
    <mergeCell ref="G20:I20"/>
    <mergeCell ref="L20:N20"/>
    <mergeCell ref="G22:H22"/>
    <mergeCell ref="I22:J22"/>
    <mergeCell ref="L22:M22"/>
    <mergeCell ref="N22:O22"/>
    <mergeCell ref="G23:H24"/>
    <mergeCell ref="I23:J24"/>
    <mergeCell ref="L23:M24"/>
    <mergeCell ref="N23:O24"/>
    <mergeCell ref="G25:H25"/>
    <mergeCell ref="I25:J25"/>
    <mergeCell ref="L25:M25"/>
    <mergeCell ref="N25:O25"/>
    <mergeCell ref="A40:B40"/>
    <mergeCell ref="A52:B52"/>
  </mergeCells>
  <dataValidations count="4">
    <dataValidation allowBlank="true" errorStyle="stop" operator="between" showDropDown="false" showErrorMessage="true" showInputMessage="true" sqref="BW6:BW14 BY6:BY14 D19:D34" type="list">
      <formula1>"🍙たいよう食費,🧴たいよう日用品,📋たいよう雑費,⛺たいよう趣味・娯楽,🍷たいよう交際費,👔たいよう衣服・美容,🏥たいよう健康・医療,🚃たいよう交通費,🍙みらの食費,🧴みらの日用品,📋みらの雑費,⛺みらの趣味・娯楽,🍷みらの交際費,👔みらの衣服・美容,🏥みらの健康・医療,🚃みらの交通費"</formula1>
      <formula2>0</formula2>
    </dataValidation>
    <dataValidation allowBlank="true" errorStyle="stop" operator="between" showDropDown="false" showErrorMessage="true" showInputMessage="true" sqref="D5:D12" type="list">
      <formula1>"💵たいよう貯金,💵たいよう特別費積立,,💵たいようNISA,💵たいよう投資,💵たいようiDeCo,💵みらの貯金,💵みらの特別費積立,💵みらのNISA,💵みらの投資,💵みらのiDeCo"</formula1>
      <formula2>0</formula2>
    </dataValidation>
    <dataValidation allowBlank="true" errorStyle="stop" operator="between" showDropDown="false" showErrorMessage="true" showInputMessage="true" sqref="A5:A12 A42:A47" type="list">
      <formula1>"💰たいよう給与,💰たいよう賞与,💰たいよう配当金,💰たいよう臨時収入,💰たいようその他,💰みらの給与,💰みらの賞与,💰みらの配当金,💰みらの臨時収入,💰みらのその他"</formula1>
      <formula2>0</formula2>
    </dataValidation>
    <dataValidation allowBlank="true" errorStyle="stop" operator="between" showDropDown="false" showErrorMessage="true" showInputMessage="true" sqref="A55:A64" type="list">
      <formula1>"✈たいよう旅行,🍽️たいよう食事,💻たいよう家具・家電,❔たいようその他,✈みらの旅行,🍽️みらの食事,💻みらの家具・家電,❔みらのその他"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87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A1" activeCellId="0" sqref="A1"/>
    </sheetView>
  </sheetViews>
  <sheetFormatPr defaultColWidth="8.62890625" defaultRowHeight="15.75" zeroHeight="false" outlineLevelRow="0" outlineLevelCol="0"/>
  <cols>
    <col collapsed="false" customWidth="true" hidden="false" outlineLevel="0" max="1" min="1" style="19" width="6.25"/>
    <col collapsed="false" customWidth="true" hidden="false" outlineLevel="0" max="2" min="2" style="19" width="4.88"/>
    <col collapsed="false" customWidth="true" hidden="false" outlineLevel="0" max="3" min="3" style="19" width="30.25"/>
    <col collapsed="false" customWidth="true" hidden="false" outlineLevel="0" max="4" min="4" style="19" width="17.38"/>
    <col collapsed="false" customWidth="true" hidden="false" outlineLevel="0" max="17" min="5" style="19" width="13.38"/>
    <col collapsed="false" customWidth="false" hidden="false" outlineLevel="0" max="16384" min="18" style="19" width="8.63"/>
  </cols>
  <sheetData>
    <row r="1" customFormat="false" ht="33" hidden="false" customHeight="true" outlineLevel="0" collapsed="false">
      <c r="A1" s="42" t="s">
        <v>160</v>
      </c>
      <c r="B1" s="42"/>
      <c r="C1" s="42"/>
      <c r="D1" s="133" t="s">
        <v>161</v>
      </c>
      <c r="E1" s="133"/>
      <c r="F1" s="133"/>
      <c r="G1" s="133"/>
    </row>
    <row r="2" customFormat="false" ht="27.75" hidden="false" customHeight="true" outlineLevel="0" collapsed="false">
      <c r="A2" s="134" t="n">
        <f aca="false">27年1月!B3</f>
        <v>2027</v>
      </c>
      <c r="B2" s="135" t="s">
        <v>162</v>
      </c>
      <c r="C2" s="136" t="s">
        <v>107</v>
      </c>
      <c r="D2" s="137" t="s">
        <v>73</v>
      </c>
      <c r="E2" s="137" t="s">
        <v>163</v>
      </c>
      <c r="F2" s="137" t="s">
        <v>164</v>
      </c>
      <c r="G2" s="137" t="s">
        <v>165</v>
      </c>
      <c r="H2" s="137" t="s">
        <v>166</v>
      </c>
      <c r="I2" s="137" t="s">
        <v>167</v>
      </c>
      <c r="J2" s="137" t="s">
        <v>168</v>
      </c>
      <c r="K2" s="137" t="s">
        <v>169</v>
      </c>
      <c r="L2" s="137" t="s">
        <v>170</v>
      </c>
      <c r="M2" s="137" t="s">
        <v>171</v>
      </c>
      <c r="N2" s="137" t="s">
        <v>172</v>
      </c>
      <c r="O2" s="137" t="s">
        <v>173</v>
      </c>
      <c r="P2" s="138" t="s">
        <v>174</v>
      </c>
      <c r="Q2" s="139" t="s">
        <v>175</v>
      </c>
    </row>
    <row r="3" customFormat="false" ht="22.5" hidden="false" customHeight="true" outlineLevel="0" collapsed="false">
      <c r="A3" s="140" t="s">
        <v>16</v>
      </c>
      <c r="B3" s="140"/>
      <c r="C3" s="54" t="s">
        <v>109</v>
      </c>
      <c r="D3" s="66"/>
      <c r="E3" s="141" t="n">
        <f aca="false">27年1月!E7</f>
        <v>0</v>
      </c>
      <c r="F3" s="141" t="n">
        <f aca="false">27年2月!E7</f>
        <v>0</v>
      </c>
      <c r="G3" s="141" t="n">
        <f aca="false">27年3月!E7</f>
        <v>0</v>
      </c>
      <c r="H3" s="141" t="n">
        <f aca="false">27年4月!E7</f>
        <v>0</v>
      </c>
      <c r="I3" s="141" t="n">
        <f aca="false">27年5月!E7</f>
        <v>0</v>
      </c>
      <c r="J3" s="141" t="n">
        <f aca="false">27年6月!E7</f>
        <v>0</v>
      </c>
      <c r="K3" s="141" t="n">
        <f aca="false">27年7月!E7</f>
        <v>0</v>
      </c>
      <c r="L3" s="141" t="n">
        <f aca="false">27年8月!E7</f>
        <v>0</v>
      </c>
      <c r="M3" s="141" t="n">
        <f aca="false">27年9月!E7</f>
        <v>0</v>
      </c>
      <c r="N3" s="141" t="n">
        <f aca="false">27年10月!E7</f>
        <v>0</v>
      </c>
      <c r="O3" s="141" t="n">
        <f aca="false">27年11月!E7</f>
        <v>0</v>
      </c>
      <c r="P3" s="142" t="n">
        <f aca="false">27年12月!E7</f>
        <v>0</v>
      </c>
      <c r="Q3" s="143" t="n">
        <f aca="false">SUM(E3:P3)</f>
        <v>0</v>
      </c>
    </row>
    <row r="4" customFormat="false" ht="22.5" hidden="false" customHeight="true" outlineLevel="0" collapsed="false">
      <c r="A4" s="140"/>
      <c r="B4" s="140"/>
      <c r="C4" s="54" t="s">
        <v>156</v>
      </c>
      <c r="D4" s="66"/>
      <c r="E4" s="141" t="n">
        <f aca="false">27年1月!E8</f>
        <v>0</v>
      </c>
      <c r="F4" s="141" t="n">
        <f aca="false">27年2月!E8</f>
        <v>0</v>
      </c>
      <c r="G4" s="141" t="n">
        <f aca="false">27年3月!E8</f>
        <v>0</v>
      </c>
      <c r="H4" s="141" t="n">
        <f aca="false">27年4月!E8</f>
        <v>0</v>
      </c>
      <c r="I4" s="141" t="n">
        <f aca="false">27年5月!E8</f>
        <v>0</v>
      </c>
      <c r="J4" s="141" t="n">
        <f aca="false">27年6月!E8</f>
        <v>0</v>
      </c>
      <c r="K4" s="141" t="n">
        <f aca="false">27年7月!E8</f>
        <v>0</v>
      </c>
      <c r="L4" s="141" t="n">
        <f aca="false">27年8月!E8</f>
        <v>0</v>
      </c>
      <c r="M4" s="141" t="n">
        <f aca="false">27年9月!E8</f>
        <v>0</v>
      </c>
      <c r="N4" s="141" t="n">
        <f aca="false">27年10月!E8</f>
        <v>0</v>
      </c>
      <c r="O4" s="141" t="n">
        <f aca="false">27年11月!E8</f>
        <v>0</v>
      </c>
      <c r="P4" s="142" t="n">
        <f aca="false">27年12月!E8</f>
        <v>0</v>
      </c>
      <c r="Q4" s="143" t="n">
        <f aca="false">SUM(E4:P4)</f>
        <v>0</v>
      </c>
    </row>
    <row r="5" customFormat="false" ht="22.5" hidden="false" customHeight="true" outlineLevel="0" collapsed="false">
      <c r="A5" s="140"/>
      <c r="B5" s="140"/>
      <c r="C5" s="54" t="s">
        <v>112</v>
      </c>
      <c r="D5" s="66"/>
      <c r="E5" s="141" t="n">
        <f aca="false">27年1月!E9</f>
        <v>0</v>
      </c>
      <c r="F5" s="141" t="n">
        <f aca="false">27年2月!E9</f>
        <v>0</v>
      </c>
      <c r="G5" s="141" t="n">
        <f aca="false">27年3月!E9</f>
        <v>0</v>
      </c>
      <c r="H5" s="141" t="n">
        <f aca="false">27年4月!E9</f>
        <v>0</v>
      </c>
      <c r="I5" s="141" t="n">
        <f aca="false">27年5月!E9</f>
        <v>0</v>
      </c>
      <c r="J5" s="141" t="n">
        <f aca="false">27年6月!E9</f>
        <v>0</v>
      </c>
      <c r="K5" s="141" t="n">
        <f aca="false">27年7月!E9</f>
        <v>0</v>
      </c>
      <c r="L5" s="141" t="n">
        <f aca="false">27年8月!E9</f>
        <v>0</v>
      </c>
      <c r="M5" s="141" t="n">
        <f aca="false">27年9月!E9</f>
        <v>0</v>
      </c>
      <c r="N5" s="141" t="n">
        <f aca="false">27年10月!E9</f>
        <v>0</v>
      </c>
      <c r="O5" s="141" t="n">
        <f aca="false">27年11月!E9</f>
        <v>0</v>
      </c>
      <c r="P5" s="142" t="n">
        <f aca="false">27年12月!E9</f>
        <v>0</v>
      </c>
      <c r="Q5" s="143" t="n">
        <f aca="false">SUM(E5:P5)</f>
        <v>0</v>
      </c>
    </row>
    <row r="6" customFormat="false" ht="22.5" hidden="false" customHeight="true" outlineLevel="0" collapsed="false">
      <c r="A6" s="140"/>
      <c r="B6" s="140"/>
      <c r="C6" s="54" t="s">
        <v>117</v>
      </c>
      <c r="D6" s="66"/>
      <c r="E6" s="141" t="n">
        <f aca="false">27年1月!E10</f>
        <v>0</v>
      </c>
      <c r="F6" s="141" t="n">
        <f aca="false">27年2月!E10</f>
        <v>0</v>
      </c>
      <c r="G6" s="141" t="n">
        <f aca="false">27年3月!E10</f>
        <v>0</v>
      </c>
      <c r="H6" s="141" t="n">
        <f aca="false">27年4月!E10</f>
        <v>0</v>
      </c>
      <c r="I6" s="141" t="n">
        <f aca="false">27年5月!E10</f>
        <v>0</v>
      </c>
      <c r="J6" s="141" t="n">
        <f aca="false">27年6月!E10</f>
        <v>0</v>
      </c>
      <c r="K6" s="141" t="n">
        <f aca="false">27年7月!E10</f>
        <v>0</v>
      </c>
      <c r="L6" s="141" t="n">
        <f aca="false">27年8月!E10</f>
        <v>0</v>
      </c>
      <c r="M6" s="141" t="n">
        <f aca="false">27年9月!E10</f>
        <v>0</v>
      </c>
      <c r="N6" s="141" t="n">
        <f aca="false">27年10月!E10</f>
        <v>0</v>
      </c>
      <c r="O6" s="141" t="n">
        <f aca="false">27年11月!E10</f>
        <v>0</v>
      </c>
      <c r="P6" s="142" t="n">
        <f aca="false">27年12月!E10</f>
        <v>0</v>
      </c>
      <c r="Q6" s="143" t="n">
        <f aca="false">SUM(E6:P6)</f>
        <v>0</v>
      </c>
    </row>
    <row r="7" customFormat="false" ht="22.5" hidden="false" customHeight="true" outlineLevel="0" collapsed="false">
      <c r="A7" s="140"/>
      <c r="B7" s="140"/>
      <c r="C7" s="54" t="s">
        <v>122</v>
      </c>
      <c r="D7" s="66"/>
      <c r="E7" s="141" t="n">
        <f aca="false">27年1月!E11</f>
        <v>0</v>
      </c>
      <c r="F7" s="141" t="n">
        <f aca="false">27年2月!E11</f>
        <v>0</v>
      </c>
      <c r="G7" s="141" t="n">
        <f aca="false">27年3月!E11</f>
        <v>0</v>
      </c>
      <c r="H7" s="141" t="n">
        <f aca="false">27年4月!E11</f>
        <v>0</v>
      </c>
      <c r="I7" s="141" t="n">
        <f aca="false">27年5月!E11</f>
        <v>0</v>
      </c>
      <c r="J7" s="141" t="n">
        <f aca="false">27年6月!E11</f>
        <v>0</v>
      </c>
      <c r="K7" s="141" t="n">
        <f aca="false">27年7月!E11</f>
        <v>0</v>
      </c>
      <c r="L7" s="141" t="n">
        <f aca="false">27年8月!E11</f>
        <v>0</v>
      </c>
      <c r="M7" s="141" t="n">
        <f aca="false">27年9月!E11</f>
        <v>0</v>
      </c>
      <c r="N7" s="141" t="n">
        <f aca="false">27年10月!E11</f>
        <v>0</v>
      </c>
      <c r="O7" s="141" t="n">
        <f aca="false">27年11月!E11</f>
        <v>0</v>
      </c>
      <c r="P7" s="142" t="n">
        <f aca="false">27年12月!E11</f>
        <v>0</v>
      </c>
      <c r="Q7" s="143" t="n">
        <f aca="false">SUM(E7:P7)</f>
        <v>0</v>
      </c>
    </row>
    <row r="8" customFormat="false" ht="22.5" hidden="false" customHeight="true" outlineLevel="0" collapsed="false">
      <c r="A8" s="140"/>
      <c r="B8" s="140"/>
      <c r="C8" s="54" t="s">
        <v>127</v>
      </c>
      <c r="D8" s="66"/>
      <c r="E8" s="141" t="n">
        <f aca="false">27年1月!E12</f>
        <v>0</v>
      </c>
      <c r="F8" s="141" t="n">
        <f aca="false">27年2月!E12</f>
        <v>0</v>
      </c>
      <c r="G8" s="141" t="n">
        <f aca="false">27年3月!E12</f>
        <v>0</v>
      </c>
      <c r="H8" s="141" t="n">
        <f aca="false">27年4月!E12</f>
        <v>0</v>
      </c>
      <c r="I8" s="141" t="n">
        <f aca="false">27年5月!E12</f>
        <v>0</v>
      </c>
      <c r="J8" s="141" t="n">
        <f aca="false">27年6月!E12</f>
        <v>0</v>
      </c>
      <c r="K8" s="141" t="n">
        <f aca="false">27年7月!E12</f>
        <v>0</v>
      </c>
      <c r="L8" s="141" t="n">
        <f aca="false">27年8月!E12</f>
        <v>0</v>
      </c>
      <c r="M8" s="141" t="n">
        <f aca="false">27年9月!E12</f>
        <v>0</v>
      </c>
      <c r="N8" s="141" t="n">
        <f aca="false">27年10月!E12</f>
        <v>0</v>
      </c>
      <c r="O8" s="141" t="n">
        <f aca="false">27年11月!E12</f>
        <v>0</v>
      </c>
      <c r="P8" s="142" t="n">
        <f aca="false">27年12月!E12</f>
        <v>0</v>
      </c>
      <c r="Q8" s="143" t="n">
        <f aca="false">SUM(E8:P8)</f>
        <v>0</v>
      </c>
    </row>
    <row r="9" customFormat="false" ht="22.5" hidden="false" customHeight="true" outlineLevel="0" collapsed="false">
      <c r="A9" s="140"/>
      <c r="B9" s="140"/>
      <c r="C9" s="54" t="s">
        <v>157</v>
      </c>
      <c r="D9" s="66"/>
      <c r="E9" s="141" t="n">
        <f aca="false">27年1月!E13</f>
        <v>0</v>
      </c>
      <c r="F9" s="141" t="n">
        <f aca="false">27年2月!E13</f>
        <v>0</v>
      </c>
      <c r="G9" s="141" t="n">
        <f aca="false">27年3月!E13</f>
        <v>0</v>
      </c>
      <c r="H9" s="141" t="n">
        <f aca="false">27年4月!E13</f>
        <v>0</v>
      </c>
      <c r="I9" s="141" t="n">
        <f aca="false">27年5月!E13</f>
        <v>0</v>
      </c>
      <c r="J9" s="141" t="n">
        <f aca="false">27年6月!E13</f>
        <v>0</v>
      </c>
      <c r="K9" s="141" t="n">
        <f aca="false">27年7月!E13</f>
        <v>0</v>
      </c>
      <c r="L9" s="141" t="n">
        <f aca="false">27年8月!E13</f>
        <v>0</v>
      </c>
      <c r="M9" s="141" t="n">
        <f aca="false">27年9月!E13</f>
        <v>0</v>
      </c>
      <c r="N9" s="141" t="n">
        <f aca="false">27年10月!E13</f>
        <v>0</v>
      </c>
      <c r="O9" s="141" t="n">
        <f aca="false">27年11月!E13</f>
        <v>0</v>
      </c>
      <c r="P9" s="142" t="n">
        <f aca="false">27年12月!E13</f>
        <v>0</v>
      </c>
      <c r="Q9" s="143" t="n">
        <f aca="false">SUM(E9:P9)</f>
        <v>0</v>
      </c>
    </row>
    <row r="10" customFormat="false" ht="22.5" hidden="false" customHeight="true" outlineLevel="0" collapsed="false">
      <c r="A10" s="140"/>
      <c r="B10" s="140"/>
      <c r="C10" s="54" t="s">
        <v>131</v>
      </c>
      <c r="D10" s="66"/>
      <c r="E10" s="141" t="n">
        <f aca="false">27年1月!E14</f>
        <v>0</v>
      </c>
      <c r="F10" s="141" t="n">
        <f aca="false">27年2月!E14</f>
        <v>0</v>
      </c>
      <c r="G10" s="141" t="n">
        <f aca="false">27年3月!E14</f>
        <v>0</v>
      </c>
      <c r="H10" s="141" t="n">
        <f aca="false">27年4月!E14</f>
        <v>0</v>
      </c>
      <c r="I10" s="141" t="n">
        <f aca="false">27年5月!E14</f>
        <v>0</v>
      </c>
      <c r="J10" s="141" t="n">
        <f aca="false">27年6月!E14</f>
        <v>0</v>
      </c>
      <c r="K10" s="141" t="n">
        <f aca="false">27年7月!E14</f>
        <v>0</v>
      </c>
      <c r="L10" s="141" t="n">
        <f aca="false">27年8月!E14</f>
        <v>0</v>
      </c>
      <c r="M10" s="141" t="n">
        <f aca="false">27年9月!E14</f>
        <v>0</v>
      </c>
      <c r="N10" s="141" t="n">
        <f aca="false">27年10月!E14</f>
        <v>0</v>
      </c>
      <c r="O10" s="141" t="n">
        <f aca="false">27年11月!E14</f>
        <v>0</v>
      </c>
      <c r="P10" s="142" t="n">
        <f aca="false">27年12月!E14</f>
        <v>0</v>
      </c>
      <c r="Q10" s="143" t="n">
        <f aca="false">SUM(E10:P10)</f>
        <v>0</v>
      </c>
    </row>
    <row r="11" customFormat="false" ht="22.5" hidden="false" customHeight="true" outlineLevel="0" collapsed="false">
      <c r="A11" s="140"/>
      <c r="B11" s="140"/>
      <c r="C11" s="54" t="s">
        <v>137</v>
      </c>
      <c r="D11" s="66"/>
      <c r="E11" s="141" t="n">
        <f aca="false">27年1月!E15</f>
        <v>0</v>
      </c>
      <c r="F11" s="141" t="n">
        <f aca="false">27年2月!E15</f>
        <v>0</v>
      </c>
      <c r="G11" s="141" t="n">
        <f aca="false">27年3月!E15</f>
        <v>0</v>
      </c>
      <c r="H11" s="141" t="n">
        <f aca="false">27年4月!E15</f>
        <v>0</v>
      </c>
      <c r="I11" s="141" t="n">
        <f aca="false">27年5月!E15</f>
        <v>0</v>
      </c>
      <c r="J11" s="141" t="n">
        <f aca="false">27年6月!E15</f>
        <v>0</v>
      </c>
      <c r="K11" s="141" t="n">
        <f aca="false">27年7月!E15</f>
        <v>0</v>
      </c>
      <c r="L11" s="141" t="n">
        <f aca="false">27年8月!E15</f>
        <v>0</v>
      </c>
      <c r="M11" s="141" t="n">
        <f aca="false">27年9月!E15</f>
        <v>0</v>
      </c>
      <c r="N11" s="141" t="n">
        <f aca="false">27年10月!E15</f>
        <v>0</v>
      </c>
      <c r="O11" s="141" t="n">
        <f aca="false">27年11月!E15</f>
        <v>0</v>
      </c>
      <c r="P11" s="142" t="n">
        <f aca="false">27年12月!E15</f>
        <v>0</v>
      </c>
      <c r="Q11" s="143" t="n">
        <f aca="false">SUM(E11:P11)</f>
        <v>0</v>
      </c>
    </row>
    <row r="12" customFormat="false" ht="22.5" hidden="false" customHeight="true" outlineLevel="0" collapsed="false">
      <c r="A12" s="140"/>
      <c r="B12" s="140"/>
      <c r="C12" s="54" t="s">
        <v>141</v>
      </c>
      <c r="D12" s="66"/>
      <c r="E12" s="141" t="n">
        <f aca="false">27年1月!E16</f>
        <v>0</v>
      </c>
      <c r="F12" s="141" t="n">
        <f aca="false">27年2月!E16</f>
        <v>0</v>
      </c>
      <c r="G12" s="141" t="n">
        <f aca="false">27年3月!E16</f>
        <v>0</v>
      </c>
      <c r="H12" s="141" t="n">
        <f aca="false">27年4月!E16</f>
        <v>0</v>
      </c>
      <c r="I12" s="141" t="n">
        <f aca="false">27年5月!E16</f>
        <v>0</v>
      </c>
      <c r="J12" s="141" t="n">
        <f aca="false">27年6月!E16</f>
        <v>0</v>
      </c>
      <c r="K12" s="141" t="n">
        <f aca="false">27年7月!E16</f>
        <v>0</v>
      </c>
      <c r="L12" s="141" t="n">
        <f aca="false">27年8月!E16</f>
        <v>0</v>
      </c>
      <c r="M12" s="141" t="n">
        <f aca="false">27年9月!E16</f>
        <v>0</v>
      </c>
      <c r="N12" s="141" t="n">
        <f aca="false">27年10月!E16</f>
        <v>0</v>
      </c>
      <c r="O12" s="141" t="n">
        <f aca="false">27年11月!E16</f>
        <v>0</v>
      </c>
      <c r="P12" s="142" t="n">
        <f aca="false">27年12月!E16</f>
        <v>0</v>
      </c>
      <c r="Q12" s="143" t="n">
        <f aca="false">SUM(E12:P12)</f>
        <v>0</v>
      </c>
    </row>
    <row r="13" customFormat="false" ht="22.5" hidden="false" customHeight="true" outlineLevel="0" collapsed="false">
      <c r="A13" s="140"/>
      <c r="B13" s="140"/>
      <c r="C13" s="71" t="s">
        <v>176</v>
      </c>
      <c r="D13" s="71"/>
      <c r="E13" s="144" t="n">
        <f aca="false">SUM(E3:E7)</f>
        <v>0</v>
      </c>
      <c r="F13" s="144" t="n">
        <f aca="false">SUM(F3:F7)</f>
        <v>0</v>
      </c>
      <c r="G13" s="144" t="n">
        <f aca="false">SUM(G3:G7)</f>
        <v>0</v>
      </c>
      <c r="H13" s="144" t="n">
        <f aca="false">SUM(H3:H7)</f>
        <v>0</v>
      </c>
      <c r="I13" s="144" t="n">
        <f aca="false">SUM(I3:I7)</f>
        <v>0</v>
      </c>
      <c r="J13" s="144" t="n">
        <f aca="false">SUM(J3:J7)</f>
        <v>0</v>
      </c>
      <c r="K13" s="144" t="n">
        <f aca="false">SUM(K3:K7)</f>
        <v>0</v>
      </c>
      <c r="L13" s="144" t="n">
        <f aca="false">SUM(L3:L7)</f>
        <v>0</v>
      </c>
      <c r="M13" s="144" t="n">
        <f aca="false">SUM(M3:M7)</f>
        <v>0</v>
      </c>
      <c r="N13" s="144" t="n">
        <f aca="false">SUM(N3:N7)</f>
        <v>0</v>
      </c>
      <c r="O13" s="144" t="n">
        <f aca="false">SUM(O3:O7)</f>
        <v>0</v>
      </c>
      <c r="P13" s="145" t="n">
        <f aca="false">SUM(P3:P7)</f>
        <v>0</v>
      </c>
      <c r="Q13" s="143" t="n">
        <f aca="false">SUM(E13:P13)</f>
        <v>0</v>
      </c>
    </row>
    <row r="14" customFormat="false" ht="22.5" hidden="false" customHeight="true" outlineLevel="0" collapsed="false">
      <c r="A14" s="140"/>
      <c r="B14" s="140"/>
      <c r="C14" s="71" t="s">
        <v>177</v>
      </c>
      <c r="D14" s="71"/>
      <c r="E14" s="144" t="n">
        <f aca="false">SUM(E8:E12)</f>
        <v>0</v>
      </c>
      <c r="F14" s="144" t="n">
        <f aca="false">SUM(F8:F12)</f>
        <v>0</v>
      </c>
      <c r="G14" s="144" t="n">
        <f aca="false">SUM(G8:G12)</f>
        <v>0</v>
      </c>
      <c r="H14" s="144" t="n">
        <f aca="false">SUM(H8:H12)</f>
        <v>0</v>
      </c>
      <c r="I14" s="144" t="n">
        <f aca="false">SUM(I8:I12)</f>
        <v>0</v>
      </c>
      <c r="J14" s="144" t="n">
        <f aca="false">SUM(J8:J12)</f>
        <v>0</v>
      </c>
      <c r="K14" s="144" t="n">
        <f aca="false">SUM(K8:K12)</f>
        <v>0</v>
      </c>
      <c r="L14" s="144" t="n">
        <f aca="false">SUM(L8:L12)</f>
        <v>0</v>
      </c>
      <c r="M14" s="144" t="n">
        <f aca="false">SUM(M8:M12)</f>
        <v>0</v>
      </c>
      <c r="N14" s="144" t="n">
        <f aca="false">SUM(N8:N12)</f>
        <v>0</v>
      </c>
      <c r="O14" s="144" t="n">
        <f aca="false">SUM(O8:O12)</f>
        <v>0</v>
      </c>
      <c r="P14" s="145" t="n">
        <f aca="false">SUM(P8:P12)</f>
        <v>0</v>
      </c>
      <c r="Q14" s="143" t="n">
        <f aca="false">SUM(E14:P14)</f>
        <v>0</v>
      </c>
    </row>
    <row r="15" customFormat="false" ht="22.5" hidden="false" customHeight="true" outlineLevel="0" collapsed="false">
      <c r="A15" s="140" t="s">
        <v>153</v>
      </c>
      <c r="B15" s="146" t="s">
        <v>18</v>
      </c>
      <c r="C15" s="54" t="s">
        <v>28</v>
      </c>
      <c r="D15" s="66"/>
      <c r="E15" s="141" t="n">
        <f aca="false">27年1月!E22</f>
        <v>0</v>
      </c>
      <c r="F15" s="141" t="n">
        <f aca="false">27年2月!E22</f>
        <v>0</v>
      </c>
      <c r="G15" s="141" t="n">
        <f aca="false">27年3月!E22</f>
        <v>0</v>
      </c>
      <c r="H15" s="141" t="n">
        <f aca="false">27年4月!E22</f>
        <v>0</v>
      </c>
      <c r="I15" s="141" t="n">
        <f aca="false">27年5月!E22</f>
        <v>0</v>
      </c>
      <c r="J15" s="141" t="n">
        <f aca="false">27年6月!E22</f>
        <v>0</v>
      </c>
      <c r="K15" s="141" t="n">
        <f aca="false">27年7月!E22</f>
        <v>0</v>
      </c>
      <c r="L15" s="141" t="n">
        <f aca="false">27年8月!E22</f>
        <v>0</v>
      </c>
      <c r="M15" s="141" t="n">
        <f aca="false">27年9月!E22</f>
        <v>0</v>
      </c>
      <c r="N15" s="141" t="n">
        <f aca="false">27年10月!E22</f>
        <v>0</v>
      </c>
      <c r="O15" s="141" t="n">
        <f aca="false">27年11月!E22</f>
        <v>0</v>
      </c>
      <c r="P15" s="142" t="n">
        <f aca="false">27年12月!E22</f>
        <v>0</v>
      </c>
      <c r="Q15" s="143" t="n">
        <f aca="false">SUM(E15:P15)</f>
        <v>0</v>
      </c>
    </row>
    <row r="16" customFormat="false" ht="22.5" hidden="false" customHeight="true" outlineLevel="0" collapsed="false">
      <c r="A16" s="140"/>
      <c r="B16" s="146"/>
      <c r="C16" s="54" t="s">
        <v>34</v>
      </c>
      <c r="D16" s="66"/>
      <c r="E16" s="141" t="n">
        <f aca="false">27年1月!E23</f>
        <v>0</v>
      </c>
      <c r="F16" s="141" t="n">
        <f aca="false">27年2月!E23</f>
        <v>0</v>
      </c>
      <c r="G16" s="141" t="n">
        <f aca="false">27年3月!E23</f>
        <v>0</v>
      </c>
      <c r="H16" s="141" t="n">
        <f aca="false">27年4月!E23</f>
        <v>0</v>
      </c>
      <c r="I16" s="141" t="n">
        <f aca="false">27年5月!E23</f>
        <v>0</v>
      </c>
      <c r="J16" s="141" t="n">
        <f aca="false">27年6月!E23</f>
        <v>0</v>
      </c>
      <c r="K16" s="141" t="n">
        <f aca="false">27年7月!E23</f>
        <v>0</v>
      </c>
      <c r="L16" s="141" t="n">
        <f aca="false">27年8月!E23</f>
        <v>0</v>
      </c>
      <c r="M16" s="141" t="n">
        <f aca="false">27年9月!E23</f>
        <v>0</v>
      </c>
      <c r="N16" s="141" t="n">
        <f aca="false">27年10月!E23</f>
        <v>0</v>
      </c>
      <c r="O16" s="141" t="n">
        <f aca="false">27年11月!E23</f>
        <v>0</v>
      </c>
      <c r="P16" s="142" t="n">
        <f aca="false">27年12月!E23</f>
        <v>0</v>
      </c>
      <c r="Q16" s="143" t="n">
        <f aca="false">SUM(E16:P16)</f>
        <v>0</v>
      </c>
    </row>
    <row r="17" customFormat="false" ht="22.5" hidden="false" customHeight="true" outlineLevel="0" collapsed="false">
      <c r="A17" s="140"/>
      <c r="B17" s="146"/>
      <c r="C17" s="54" t="s">
        <v>40</v>
      </c>
      <c r="D17" s="66"/>
      <c r="E17" s="141" t="n">
        <f aca="false">27年1月!E24</f>
        <v>0</v>
      </c>
      <c r="F17" s="141" t="n">
        <f aca="false">27年2月!E24</f>
        <v>0</v>
      </c>
      <c r="G17" s="141" t="n">
        <f aca="false">27年3月!E24</f>
        <v>0</v>
      </c>
      <c r="H17" s="141" t="n">
        <f aca="false">27年4月!E24</f>
        <v>0</v>
      </c>
      <c r="I17" s="141" t="n">
        <f aca="false">27年5月!E24</f>
        <v>0</v>
      </c>
      <c r="J17" s="141" t="n">
        <f aca="false">27年6月!E24</f>
        <v>0</v>
      </c>
      <c r="K17" s="141" t="n">
        <f aca="false">27年7月!E24</f>
        <v>0</v>
      </c>
      <c r="L17" s="141" t="n">
        <f aca="false">27年8月!E24</f>
        <v>0</v>
      </c>
      <c r="M17" s="141" t="n">
        <f aca="false">27年9月!E24</f>
        <v>0</v>
      </c>
      <c r="N17" s="141" t="n">
        <f aca="false">27年10月!E24</f>
        <v>0</v>
      </c>
      <c r="O17" s="141" t="n">
        <f aca="false">27年11月!E24</f>
        <v>0</v>
      </c>
      <c r="P17" s="142" t="n">
        <f aca="false">27年12月!E24</f>
        <v>0</v>
      </c>
      <c r="Q17" s="143" t="n">
        <f aca="false">SUM(E17:P17)</f>
        <v>0</v>
      </c>
    </row>
    <row r="18" customFormat="false" ht="22.5" hidden="false" customHeight="true" outlineLevel="0" collapsed="false">
      <c r="A18" s="140"/>
      <c r="B18" s="146"/>
      <c r="C18" s="54" t="s">
        <v>46</v>
      </c>
      <c r="D18" s="66"/>
      <c r="E18" s="141" t="n">
        <f aca="false">27年1月!E25</f>
        <v>0</v>
      </c>
      <c r="F18" s="141" t="n">
        <f aca="false">27年2月!E25</f>
        <v>0</v>
      </c>
      <c r="G18" s="141" t="n">
        <f aca="false">27年3月!E25</f>
        <v>0</v>
      </c>
      <c r="H18" s="141" t="n">
        <f aca="false">27年4月!E25</f>
        <v>0</v>
      </c>
      <c r="I18" s="141" t="n">
        <f aca="false">27年5月!E25</f>
        <v>0</v>
      </c>
      <c r="J18" s="141" t="n">
        <f aca="false">27年6月!E25</f>
        <v>0</v>
      </c>
      <c r="K18" s="141" t="n">
        <f aca="false">27年7月!E25</f>
        <v>0</v>
      </c>
      <c r="L18" s="141" t="n">
        <f aca="false">27年8月!E25</f>
        <v>0</v>
      </c>
      <c r="M18" s="141" t="n">
        <f aca="false">27年9月!E25</f>
        <v>0</v>
      </c>
      <c r="N18" s="141" t="n">
        <f aca="false">27年10月!E25</f>
        <v>0</v>
      </c>
      <c r="O18" s="141" t="n">
        <f aca="false">27年11月!E25</f>
        <v>0</v>
      </c>
      <c r="P18" s="142" t="n">
        <f aca="false">27年12月!E25</f>
        <v>0</v>
      </c>
      <c r="Q18" s="143" t="n">
        <f aca="false">SUM(E18:P18)</f>
        <v>0</v>
      </c>
    </row>
    <row r="19" customFormat="false" ht="22.5" hidden="false" customHeight="true" outlineLevel="0" collapsed="false">
      <c r="A19" s="140"/>
      <c r="B19" s="146"/>
      <c r="C19" s="54" t="s">
        <v>50</v>
      </c>
      <c r="D19" s="66"/>
      <c r="E19" s="141" t="n">
        <f aca="false">27年1月!E26</f>
        <v>0</v>
      </c>
      <c r="F19" s="141" t="n">
        <f aca="false">27年2月!E26</f>
        <v>0</v>
      </c>
      <c r="G19" s="141" t="n">
        <f aca="false">27年3月!E26</f>
        <v>0</v>
      </c>
      <c r="H19" s="141" t="n">
        <f aca="false">27年4月!E26</f>
        <v>0</v>
      </c>
      <c r="I19" s="141" t="n">
        <f aca="false">27年5月!E26</f>
        <v>0</v>
      </c>
      <c r="J19" s="141" t="n">
        <f aca="false">27年6月!E26</f>
        <v>0</v>
      </c>
      <c r="K19" s="141" t="n">
        <f aca="false">27年7月!E26</f>
        <v>0</v>
      </c>
      <c r="L19" s="141" t="n">
        <f aca="false">27年8月!E26</f>
        <v>0</v>
      </c>
      <c r="M19" s="141" t="n">
        <f aca="false">27年9月!E26</f>
        <v>0</v>
      </c>
      <c r="N19" s="141" t="n">
        <f aca="false">27年10月!E26</f>
        <v>0</v>
      </c>
      <c r="O19" s="141" t="n">
        <f aca="false">27年11月!E26</f>
        <v>0</v>
      </c>
      <c r="P19" s="142" t="n">
        <f aca="false">27年12月!E26</f>
        <v>0</v>
      </c>
      <c r="Q19" s="143" t="n">
        <f aca="false">SUM(E19:P19)</f>
        <v>0</v>
      </c>
    </row>
    <row r="20" customFormat="false" ht="22.5" hidden="false" customHeight="true" outlineLevel="0" collapsed="false">
      <c r="A20" s="140"/>
      <c r="B20" s="146"/>
      <c r="C20" s="54" t="s">
        <v>53</v>
      </c>
      <c r="D20" s="66"/>
      <c r="E20" s="141" t="n">
        <f aca="false">27年1月!E27</f>
        <v>0</v>
      </c>
      <c r="F20" s="141" t="n">
        <f aca="false">27年2月!E27</f>
        <v>0</v>
      </c>
      <c r="G20" s="141" t="n">
        <f aca="false">27年3月!E27</f>
        <v>0</v>
      </c>
      <c r="H20" s="141" t="n">
        <f aca="false">27年4月!E27</f>
        <v>0</v>
      </c>
      <c r="I20" s="141" t="n">
        <f aca="false">27年5月!E27</f>
        <v>0</v>
      </c>
      <c r="J20" s="141" t="n">
        <f aca="false">27年6月!E27</f>
        <v>0</v>
      </c>
      <c r="K20" s="141" t="n">
        <f aca="false">27年7月!E27</f>
        <v>0</v>
      </c>
      <c r="L20" s="141" t="n">
        <f aca="false">27年8月!E27</f>
        <v>0</v>
      </c>
      <c r="M20" s="141" t="n">
        <f aca="false">27年9月!E27</f>
        <v>0</v>
      </c>
      <c r="N20" s="141" t="n">
        <f aca="false">27年10月!E27</f>
        <v>0</v>
      </c>
      <c r="O20" s="141" t="n">
        <f aca="false">27年11月!E27</f>
        <v>0</v>
      </c>
      <c r="P20" s="142" t="n">
        <f aca="false">27年12月!E27</f>
        <v>0</v>
      </c>
      <c r="Q20" s="143" t="n">
        <f aca="false">SUM(E20:P20)</f>
        <v>0</v>
      </c>
    </row>
    <row r="21" customFormat="false" ht="22.5" hidden="false" customHeight="true" outlineLevel="0" collapsed="false">
      <c r="A21" s="140"/>
      <c r="B21" s="146"/>
      <c r="C21" s="54" t="s">
        <v>56</v>
      </c>
      <c r="D21" s="66"/>
      <c r="E21" s="141" t="n">
        <f aca="false">27年1月!E28</f>
        <v>0</v>
      </c>
      <c r="F21" s="141" t="n">
        <f aca="false">27年2月!E28</f>
        <v>0</v>
      </c>
      <c r="G21" s="141" t="n">
        <f aca="false">27年3月!E28</f>
        <v>0</v>
      </c>
      <c r="H21" s="141" t="n">
        <f aca="false">27年4月!E28</f>
        <v>0</v>
      </c>
      <c r="I21" s="141" t="n">
        <f aca="false">27年5月!E28</f>
        <v>0</v>
      </c>
      <c r="J21" s="141" t="n">
        <f aca="false">27年6月!E28</f>
        <v>0</v>
      </c>
      <c r="K21" s="141" t="n">
        <f aca="false">27年7月!E28</f>
        <v>0</v>
      </c>
      <c r="L21" s="141" t="n">
        <f aca="false">27年8月!E28</f>
        <v>0</v>
      </c>
      <c r="M21" s="141" t="n">
        <f aca="false">27年9月!E28</f>
        <v>0</v>
      </c>
      <c r="N21" s="141" t="n">
        <f aca="false">27年10月!E28</f>
        <v>0</v>
      </c>
      <c r="O21" s="141" t="n">
        <f aca="false">27年11月!E28</f>
        <v>0</v>
      </c>
      <c r="P21" s="142" t="n">
        <f aca="false">27年12月!E28</f>
        <v>0</v>
      </c>
      <c r="Q21" s="143" t="n">
        <f aca="false">SUM(E21:P21)</f>
        <v>0</v>
      </c>
    </row>
    <row r="22" customFormat="false" ht="22.5" hidden="false" customHeight="true" outlineLevel="0" collapsed="false">
      <c r="A22" s="140"/>
      <c r="B22" s="146"/>
      <c r="C22" s="54" t="s">
        <v>58</v>
      </c>
      <c r="D22" s="66"/>
      <c r="E22" s="141" t="n">
        <f aca="false">27年1月!E29</f>
        <v>0</v>
      </c>
      <c r="F22" s="141" t="n">
        <f aca="false">27年2月!E29</f>
        <v>0</v>
      </c>
      <c r="G22" s="141" t="n">
        <f aca="false">27年3月!E29</f>
        <v>0</v>
      </c>
      <c r="H22" s="141" t="n">
        <f aca="false">27年4月!E29</f>
        <v>0</v>
      </c>
      <c r="I22" s="141" t="n">
        <f aca="false">27年5月!E29</f>
        <v>0</v>
      </c>
      <c r="J22" s="141" t="n">
        <f aca="false">27年6月!E29</f>
        <v>0</v>
      </c>
      <c r="K22" s="141" t="n">
        <f aca="false">27年7月!E29</f>
        <v>0</v>
      </c>
      <c r="L22" s="141" t="n">
        <f aca="false">27年8月!E29</f>
        <v>0</v>
      </c>
      <c r="M22" s="141" t="n">
        <f aca="false">27年9月!E29</f>
        <v>0</v>
      </c>
      <c r="N22" s="141" t="n">
        <f aca="false">27年10月!E29</f>
        <v>0</v>
      </c>
      <c r="O22" s="141" t="n">
        <f aca="false">27年11月!E29</f>
        <v>0</v>
      </c>
      <c r="P22" s="142" t="n">
        <f aca="false">27年12月!E29</f>
        <v>0</v>
      </c>
      <c r="Q22" s="143" t="n">
        <f aca="false">SUM(E22:P22)</f>
        <v>0</v>
      </c>
    </row>
    <row r="23" customFormat="false" ht="22.5" hidden="false" customHeight="true" outlineLevel="0" collapsed="false">
      <c r="A23" s="140"/>
      <c r="B23" s="146"/>
      <c r="C23" s="54" t="s">
        <v>59</v>
      </c>
      <c r="D23" s="66"/>
      <c r="E23" s="141" t="n">
        <f aca="false">27年1月!E30</f>
        <v>0</v>
      </c>
      <c r="F23" s="141" t="n">
        <f aca="false">27年2月!E30</f>
        <v>0</v>
      </c>
      <c r="G23" s="141" t="n">
        <f aca="false">27年3月!E30</f>
        <v>0</v>
      </c>
      <c r="H23" s="141" t="n">
        <f aca="false">27年4月!E30</f>
        <v>0</v>
      </c>
      <c r="I23" s="141" t="n">
        <f aca="false">27年5月!E30</f>
        <v>0</v>
      </c>
      <c r="J23" s="141" t="n">
        <f aca="false">27年6月!E30</f>
        <v>0</v>
      </c>
      <c r="K23" s="141" t="n">
        <f aca="false">27年7月!E30</f>
        <v>0</v>
      </c>
      <c r="L23" s="141" t="n">
        <f aca="false">27年8月!E30</f>
        <v>0</v>
      </c>
      <c r="M23" s="141" t="n">
        <f aca="false">27年9月!E30</f>
        <v>0</v>
      </c>
      <c r="N23" s="141" t="n">
        <f aca="false">27年10月!E30</f>
        <v>0</v>
      </c>
      <c r="O23" s="141" t="n">
        <f aca="false">27年11月!E30</f>
        <v>0</v>
      </c>
      <c r="P23" s="142" t="n">
        <f aca="false">27年12月!E30</f>
        <v>0</v>
      </c>
      <c r="Q23" s="143" t="n">
        <f aca="false">SUM(E23:P23)</f>
        <v>0</v>
      </c>
    </row>
    <row r="24" customFormat="false" ht="22.5" hidden="false" customHeight="true" outlineLevel="0" collapsed="false">
      <c r="A24" s="140"/>
      <c r="B24" s="146"/>
      <c r="C24" s="54" t="s">
        <v>60</v>
      </c>
      <c r="D24" s="66"/>
      <c r="E24" s="141" t="n">
        <f aca="false">27年1月!E31</f>
        <v>0</v>
      </c>
      <c r="F24" s="141" t="n">
        <f aca="false">27年2月!E31</f>
        <v>0</v>
      </c>
      <c r="G24" s="141" t="n">
        <f aca="false">27年3月!E31</f>
        <v>0</v>
      </c>
      <c r="H24" s="141" t="n">
        <f aca="false">27年4月!E31</f>
        <v>0</v>
      </c>
      <c r="I24" s="141" t="n">
        <f aca="false">27年5月!E31</f>
        <v>0</v>
      </c>
      <c r="J24" s="141" t="n">
        <f aca="false">27年6月!E31</f>
        <v>0</v>
      </c>
      <c r="K24" s="141" t="n">
        <f aca="false">27年7月!E31</f>
        <v>0</v>
      </c>
      <c r="L24" s="141" t="n">
        <f aca="false">27年8月!E31</f>
        <v>0</v>
      </c>
      <c r="M24" s="141" t="n">
        <f aca="false">27年9月!E31</f>
        <v>0</v>
      </c>
      <c r="N24" s="141" t="n">
        <f aca="false">27年10月!E31</f>
        <v>0</v>
      </c>
      <c r="O24" s="141" t="n">
        <f aca="false">27年11月!E31</f>
        <v>0</v>
      </c>
      <c r="P24" s="142" t="n">
        <f aca="false">27年12月!E31</f>
        <v>0</v>
      </c>
      <c r="Q24" s="143" t="n">
        <f aca="false">SUM(E24:P24)</f>
        <v>0</v>
      </c>
    </row>
    <row r="25" customFormat="false" ht="22.5" hidden="false" customHeight="true" outlineLevel="0" collapsed="false">
      <c r="A25" s="140"/>
      <c r="B25" s="146"/>
      <c r="C25" s="54" t="s">
        <v>61</v>
      </c>
      <c r="D25" s="66"/>
      <c r="E25" s="141" t="n">
        <f aca="false">27年1月!E32</f>
        <v>0</v>
      </c>
      <c r="F25" s="141" t="n">
        <f aca="false">27年2月!E32</f>
        <v>0</v>
      </c>
      <c r="G25" s="141" t="n">
        <f aca="false">27年3月!E32</f>
        <v>0</v>
      </c>
      <c r="H25" s="141" t="n">
        <f aca="false">27年4月!E32</f>
        <v>0</v>
      </c>
      <c r="I25" s="141" t="n">
        <f aca="false">27年5月!E32</f>
        <v>0</v>
      </c>
      <c r="J25" s="141" t="n">
        <f aca="false">27年6月!E32</f>
        <v>0</v>
      </c>
      <c r="K25" s="141" t="n">
        <f aca="false">27年7月!E32</f>
        <v>0</v>
      </c>
      <c r="L25" s="141" t="n">
        <f aca="false">27年8月!E32</f>
        <v>0</v>
      </c>
      <c r="M25" s="141" t="n">
        <f aca="false">27年9月!E32</f>
        <v>0</v>
      </c>
      <c r="N25" s="141" t="n">
        <f aca="false">27年10月!E32</f>
        <v>0</v>
      </c>
      <c r="O25" s="141" t="n">
        <f aca="false">27年11月!E32</f>
        <v>0</v>
      </c>
      <c r="P25" s="142" t="n">
        <f aca="false">27年12月!E32</f>
        <v>0</v>
      </c>
      <c r="Q25" s="143" t="n">
        <f aca="false">SUM(E25:P25)</f>
        <v>0</v>
      </c>
    </row>
    <row r="26" customFormat="false" ht="22.5" hidden="false" customHeight="true" outlineLevel="0" collapsed="false">
      <c r="A26" s="140"/>
      <c r="B26" s="146"/>
      <c r="C26" s="54" t="s">
        <v>62</v>
      </c>
      <c r="D26" s="66"/>
      <c r="E26" s="141" t="n">
        <f aca="false">27年1月!E33</f>
        <v>0</v>
      </c>
      <c r="F26" s="141" t="n">
        <f aca="false">27年2月!E33</f>
        <v>0</v>
      </c>
      <c r="G26" s="141" t="n">
        <f aca="false">27年3月!E33</f>
        <v>0</v>
      </c>
      <c r="H26" s="141" t="n">
        <f aca="false">27年4月!E33</f>
        <v>0</v>
      </c>
      <c r="I26" s="141" t="n">
        <f aca="false">27年5月!E33</f>
        <v>0</v>
      </c>
      <c r="J26" s="141" t="n">
        <f aca="false">27年6月!E33</f>
        <v>0</v>
      </c>
      <c r="K26" s="141" t="n">
        <f aca="false">27年7月!E33</f>
        <v>0</v>
      </c>
      <c r="L26" s="141" t="n">
        <f aca="false">27年8月!E33</f>
        <v>0</v>
      </c>
      <c r="M26" s="141" t="n">
        <f aca="false">27年9月!E33</f>
        <v>0</v>
      </c>
      <c r="N26" s="141" t="n">
        <f aca="false">27年10月!E33</f>
        <v>0</v>
      </c>
      <c r="O26" s="141" t="n">
        <f aca="false">27年11月!E33</f>
        <v>0</v>
      </c>
      <c r="P26" s="142" t="n">
        <f aca="false">27年12月!E33</f>
        <v>0</v>
      </c>
      <c r="Q26" s="143" t="n">
        <f aca="false">SUM(E26:P26)</f>
        <v>0</v>
      </c>
    </row>
    <row r="27" customFormat="false" ht="22.5" hidden="false" customHeight="true" outlineLevel="0" collapsed="false">
      <c r="A27" s="140"/>
      <c r="B27" s="146"/>
      <c r="C27" s="54" t="s">
        <v>63</v>
      </c>
      <c r="D27" s="66"/>
      <c r="E27" s="141" t="n">
        <f aca="false">27年1月!E34</f>
        <v>0</v>
      </c>
      <c r="F27" s="141" t="n">
        <f aca="false">27年2月!E34</f>
        <v>0</v>
      </c>
      <c r="G27" s="141" t="n">
        <f aca="false">27年3月!E34</f>
        <v>0</v>
      </c>
      <c r="H27" s="141" t="n">
        <f aca="false">27年4月!E34</f>
        <v>0</v>
      </c>
      <c r="I27" s="141" t="n">
        <f aca="false">27年5月!E34</f>
        <v>0</v>
      </c>
      <c r="J27" s="141" t="n">
        <f aca="false">27年6月!E34</f>
        <v>0</v>
      </c>
      <c r="K27" s="141" t="n">
        <f aca="false">27年7月!E34</f>
        <v>0</v>
      </c>
      <c r="L27" s="141" t="n">
        <f aca="false">27年8月!E34</f>
        <v>0</v>
      </c>
      <c r="M27" s="141" t="n">
        <f aca="false">27年9月!E34</f>
        <v>0</v>
      </c>
      <c r="N27" s="141" t="n">
        <f aca="false">27年10月!E34</f>
        <v>0</v>
      </c>
      <c r="O27" s="141" t="n">
        <f aca="false">27年11月!E34</f>
        <v>0</v>
      </c>
      <c r="P27" s="142" t="n">
        <f aca="false">27年12月!E34</f>
        <v>0</v>
      </c>
      <c r="Q27" s="143" t="n">
        <f aca="false">SUM(E27:P27)</f>
        <v>0</v>
      </c>
    </row>
    <row r="28" customFormat="false" ht="22.5" hidden="false" customHeight="true" outlineLevel="0" collapsed="false">
      <c r="A28" s="140"/>
      <c r="B28" s="146"/>
      <c r="C28" s="54" t="s">
        <v>65</v>
      </c>
      <c r="D28" s="66"/>
      <c r="E28" s="141" t="n">
        <f aca="false">27年1月!E35</f>
        <v>0</v>
      </c>
      <c r="F28" s="141" t="n">
        <f aca="false">27年2月!E35</f>
        <v>0</v>
      </c>
      <c r="G28" s="141" t="n">
        <f aca="false">27年3月!E35</f>
        <v>0</v>
      </c>
      <c r="H28" s="141" t="n">
        <f aca="false">27年4月!E35</f>
        <v>0</v>
      </c>
      <c r="I28" s="141" t="n">
        <f aca="false">27年5月!E35</f>
        <v>0</v>
      </c>
      <c r="J28" s="141" t="n">
        <f aca="false">27年6月!E35</f>
        <v>0</v>
      </c>
      <c r="K28" s="141" t="n">
        <f aca="false">27年7月!E35</f>
        <v>0</v>
      </c>
      <c r="L28" s="141" t="n">
        <f aca="false">27年8月!E35</f>
        <v>0</v>
      </c>
      <c r="M28" s="141" t="n">
        <f aca="false">27年9月!E35</f>
        <v>0</v>
      </c>
      <c r="N28" s="141" t="n">
        <f aca="false">27年10月!E35</f>
        <v>0</v>
      </c>
      <c r="O28" s="141" t="n">
        <f aca="false">27年11月!E35</f>
        <v>0</v>
      </c>
      <c r="P28" s="142" t="n">
        <f aca="false">27年12月!E35</f>
        <v>0</v>
      </c>
      <c r="Q28" s="143" t="n">
        <f aca="false">SUM(E28:P28)</f>
        <v>0</v>
      </c>
    </row>
    <row r="29" customFormat="false" ht="22.5" hidden="false" customHeight="true" outlineLevel="0" collapsed="false">
      <c r="A29" s="140"/>
      <c r="B29" s="146"/>
      <c r="C29" s="147" t="s">
        <v>178</v>
      </c>
      <c r="D29" s="147"/>
      <c r="E29" s="148" t="n">
        <f aca="false">SUM(E15:E21)</f>
        <v>0</v>
      </c>
      <c r="F29" s="148" t="n">
        <f aca="false">SUM(F15:F21)</f>
        <v>0</v>
      </c>
      <c r="G29" s="148" t="n">
        <f aca="false">SUM(G15:G21)</f>
        <v>0</v>
      </c>
      <c r="H29" s="148" t="n">
        <f aca="false">SUM(H15:H21)</f>
        <v>0</v>
      </c>
      <c r="I29" s="148" t="n">
        <f aca="false">SUM(I15:I21)</f>
        <v>0</v>
      </c>
      <c r="J29" s="148" t="n">
        <f aca="false">SUM(J15:J21)</f>
        <v>0</v>
      </c>
      <c r="K29" s="148" t="n">
        <f aca="false">SUM(K15:K21)</f>
        <v>0</v>
      </c>
      <c r="L29" s="148" t="n">
        <f aca="false">SUM(L15:L21)</f>
        <v>0</v>
      </c>
      <c r="M29" s="148" t="n">
        <f aca="false">SUM(M15:M21)</f>
        <v>0</v>
      </c>
      <c r="N29" s="148" t="n">
        <f aca="false">SUM(N15:N21)</f>
        <v>0</v>
      </c>
      <c r="O29" s="148" t="n">
        <f aca="false">SUM(O15:O21)</f>
        <v>0</v>
      </c>
      <c r="P29" s="149" t="n">
        <f aca="false">SUM(P15:P21)</f>
        <v>0</v>
      </c>
      <c r="Q29" s="143" t="n">
        <f aca="false">SUM(E29:P29)</f>
        <v>0</v>
      </c>
    </row>
    <row r="30" customFormat="false" ht="22.5" hidden="false" customHeight="true" outlineLevel="0" collapsed="false">
      <c r="A30" s="140"/>
      <c r="B30" s="146"/>
      <c r="C30" s="147" t="s">
        <v>179</v>
      </c>
      <c r="D30" s="147"/>
      <c r="E30" s="148" t="n">
        <f aca="false">SUM(E22:E28)</f>
        <v>0</v>
      </c>
      <c r="F30" s="148" t="n">
        <f aca="false">SUM(F22:F28)</f>
        <v>0</v>
      </c>
      <c r="G30" s="148" t="n">
        <f aca="false">SUM(G22:G28)</f>
        <v>0</v>
      </c>
      <c r="H30" s="148" t="n">
        <f aca="false">SUM(H22:H28)</f>
        <v>0</v>
      </c>
      <c r="I30" s="148" t="n">
        <f aca="false">SUM(I22:I28)</f>
        <v>0</v>
      </c>
      <c r="J30" s="148" t="n">
        <f aca="false">SUM(J22:J28)</f>
        <v>0</v>
      </c>
      <c r="K30" s="148" t="n">
        <f aca="false">SUM(K22:K28)</f>
        <v>0</v>
      </c>
      <c r="L30" s="148" t="n">
        <f aca="false">SUM(L22:L28)</f>
        <v>0</v>
      </c>
      <c r="M30" s="148" t="n">
        <f aca="false">SUM(M22:M28)</f>
        <v>0</v>
      </c>
      <c r="N30" s="148" t="n">
        <f aca="false">SUM(N22:N28)</f>
        <v>0</v>
      </c>
      <c r="O30" s="148" t="n">
        <f aca="false">SUM(O22:O28)</f>
        <v>0</v>
      </c>
      <c r="P30" s="149" t="n">
        <f aca="false">SUM(P22:P28)</f>
        <v>0</v>
      </c>
      <c r="Q30" s="143" t="n">
        <f aca="false">SUM(E30:P30)</f>
        <v>0</v>
      </c>
    </row>
    <row r="31" customFormat="false" ht="22.5" hidden="false" customHeight="true" outlineLevel="0" collapsed="false">
      <c r="A31" s="140"/>
      <c r="B31" s="146" t="s">
        <v>19</v>
      </c>
      <c r="C31" s="54" t="s">
        <v>115</v>
      </c>
      <c r="D31" s="66"/>
      <c r="E31" s="141" t="n">
        <f aca="false">27年1月!J22</f>
        <v>0</v>
      </c>
      <c r="F31" s="141" t="n">
        <f aca="false">27年2月!J22</f>
        <v>0</v>
      </c>
      <c r="G31" s="141" t="n">
        <f aca="false">27年3月!J22</f>
        <v>0</v>
      </c>
      <c r="H31" s="141" t="n">
        <f aca="false">27年4月!J22</f>
        <v>0</v>
      </c>
      <c r="I31" s="141" t="n">
        <f aca="false">27年5月!J22</f>
        <v>0</v>
      </c>
      <c r="J31" s="141" t="n">
        <f aca="false">27年6月!J22</f>
        <v>0</v>
      </c>
      <c r="K31" s="141" t="n">
        <f aca="false">27年7月!J22</f>
        <v>0</v>
      </c>
      <c r="L31" s="141" t="n">
        <f aca="false">27年8月!J22</f>
        <v>0</v>
      </c>
      <c r="M31" s="141" t="n">
        <f aca="false">27年9月!J22</f>
        <v>0</v>
      </c>
      <c r="N31" s="141" t="n">
        <f aca="false">27年10月!J22</f>
        <v>0</v>
      </c>
      <c r="O31" s="141" t="n">
        <f aca="false">27年11月!J22</f>
        <v>0</v>
      </c>
      <c r="P31" s="142" t="n">
        <f aca="false">27年12月!J22</f>
        <v>0</v>
      </c>
      <c r="Q31" s="143" t="n">
        <f aca="false">SUM(E31:P31)</f>
        <v>0</v>
      </c>
    </row>
    <row r="32" customFormat="false" ht="22.5" hidden="false" customHeight="true" outlineLevel="0" collapsed="false">
      <c r="A32" s="140"/>
      <c r="B32" s="146"/>
      <c r="C32" s="54" t="s">
        <v>120</v>
      </c>
      <c r="D32" s="66"/>
      <c r="E32" s="141" t="n">
        <f aca="false">27年1月!J23</f>
        <v>0</v>
      </c>
      <c r="F32" s="141" t="n">
        <f aca="false">27年2月!J23</f>
        <v>0</v>
      </c>
      <c r="G32" s="141" t="n">
        <f aca="false">27年3月!J23</f>
        <v>0</v>
      </c>
      <c r="H32" s="141" t="n">
        <f aca="false">27年4月!J23</f>
        <v>0</v>
      </c>
      <c r="I32" s="141" t="n">
        <f aca="false">27年5月!J23</f>
        <v>0</v>
      </c>
      <c r="J32" s="141" t="n">
        <f aca="false">27年6月!J23</f>
        <v>0</v>
      </c>
      <c r="K32" s="141" t="n">
        <f aca="false">27年7月!J23</f>
        <v>0</v>
      </c>
      <c r="L32" s="141" t="n">
        <f aca="false">27年8月!J23</f>
        <v>0</v>
      </c>
      <c r="M32" s="141" t="n">
        <f aca="false">27年9月!J23</f>
        <v>0</v>
      </c>
      <c r="N32" s="141" t="n">
        <f aca="false">27年10月!J23</f>
        <v>0</v>
      </c>
      <c r="O32" s="141" t="n">
        <f aca="false">27年11月!J23</f>
        <v>0</v>
      </c>
      <c r="P32" s="142" t="n">
        <f aca="false">27年12月!J23</f>
        <v>0</v>
      </c>
      <c r="Q32" s="143" t="n">
        <f aca="false">SUM(E32:P32)</f>
        <v>0</v>
      </c>
    </row>
    <row r="33" customFormat="false" ht="22.5" hidden="false" customHeight="true" outlineLevel="0" collapsed="false">
      <c r="A33" s="140"/>
      <c r="B33" s="146"/>
      <c r="C33" s="54" t="s">
        <v>125</v>
      </c>
      <c r="D33" s="66"/>
      <c r="E33" s="141" t="n">
        <f aca="false">27年1月!J24</f>
        <v>0</v>
      </c>
      <c r="F33" s="141" t="n">
        <f aca="false">27年2月!J24</f>
        <v>0</v>
      </c>
      <c r="G33" s="141" t="n">
        <f aca="false">27年3月!J24</f>
        <v>0</v>
      </c>
      <c r="H33" s="141" t="n">
        <f aca="false">27年4月!J24</f>
        <v>0</v>
      </c>
      <c r="I33" s="141" t="n">
        <f aca="false">27年5月!J24</f>
        <v>0</v>
      </c>
      <c r="J33" s="141" t="n">
        <f aca="false">27年6月!J24</f>
        <v>0</v>
      </c>
      <c r="K33" s="141" t="n">
        <f aca="false">27年7月!J24</f>
        <v>0</v>
      </c>
      <c r="L33" s="141" t="n">
        <f aca="false">27年8月!J24</f>
        <v>0</v>
      </c>
      <c r="M33" s="141" t="n">
        <f aca="false">27年9月!J24</f>
        <v>0</v>
      </c>
      <c r="N33" s="141" t="n">
        <f aca="false">27年10月!J24</f>
        <v>0</v>
      </c>
      <c r="O33" s="141" t="n">
        <f aca="false">27年11月!J24</f>
        <v>0</v>
      </c>
      <c r="P33" s="142" t="n">
        <f aca="false">27年12月!J24</f>
        <v>0</v>
      </c>
      <c r="Q33" s="143" t="n">
        <f aca="false">SUM(E33:P33)</f>
        <v>0</v>
      </c>
    </row>
    <row r="34" customFormat="false" ht="22.5" hidden="false" customHeight="true" outlineLevel="0" collapsed="false">
      <c r="A34" s="140"/>
      <c r="B34" s="146"/>
      <c r="C34" s="54" t="s">
        <v>129</v>
      </c>
      <c r="D34" s="66"/>
      <c r="E34" s="141" t="n">
        <f aca="false">27年1月!J25</f>
        <v>0</v>
      </c>
      <c r="F34" s="141" t="n">
        <f aca="false">27年2月!J25</f>
        <v>0</v>
      </c>
      <c r="G34" s="141" t="n">
        <f aca="false">27年3月!J25</f>
        <v>0</v>
      </c>
      <c r="H34" s="141" t="n">
        <f aca="false">27年4月!J25</f>
        <v>0</v>
      </c>
      <c r="I34" s="141" t="n">
        <f aca="false">27年5月!J25</f>
        <v>0</v>
      </c>
      <c r="J34" s="141" t="n">
        <f aca="false">27年6月!J25</f>
        <v>0</v>
      </c>
      <c r="K34" s="141" t="n">
        <f aca="false">27年7月!J25</f>
        <v>0</v>
      </c>
      <c r="L34" s="141" t="n">
        <f aca="false">27年8月!J25</f>
        <v>0</v>
      </c>
      <c r="M34" s="141" t="n">
        <f aca="false">27年9月!J25</f>
        <v>0</v>
      </c>
      <c r="N34" s="141" t="n">
        <f aca="false">27年10月!J25</f>
        <v>0</v>
      </c>
      <c r="O34" s="141" t="n">
        <f aca="false">27年11月!J25</f>
        <v>0</v>
      </c>
      <c r="P34" s="142" t="n">
        <f aca="false">27年12月!J25</f>
        <v>0</v>
      </c>
      <c r="Q34" s="143" t="n">
        <f aca="false">SUM(E34:P34)</f>
        <v>0</v>
      </c>
    </row>
    <row r="35" customFormat="false" ht="22.5" hidden="false" customHeight="true" outlineLevel="0" collapsed="false">
      <c r="A35" s="140"/>
      <c r="B35" s="146"/>
      <c r="C35" s="54" t="s">
        <v>135</v>
      </c>
      <c r="D35" s="66"/>
      <c r="E35" s="141" t="n">
        <f aca="false">27年1月!J26</f>
        <v>0</v>
      </c>
      <c r="F35" s="141" t="n">
        <f aca="false">27年2月!J26</f>
        <v>0</v>
      </c>
      <c r="G35" s="141" t="n">
        <f aca="false">27年3月!J26</f>
        <v>0</v>
      </c>
      <c r="H35" s="141" t="n">
        <f aca="false">27年4月!J26</f>
        <v>0</v>
      </c>
      <c r="I35" s="141" t="n">
        <f aca="false">27年5月!J26</f>
        <v>0</v>
      </c>
      <c r="J35" s="141" t="n">
        <f aca="false">27年6月!J26</f>
        <v>0</v>
      </c>
      <c r="K35" s="141" t="n">
        <f aca="false">27年7月!J26</f>
        <v>0</v>
      </c>
      <c r="L35" s="141" t="n">
        <f aca="false">27年8月!J26</f>
        <v>0</v>
      </c>
      <c r="M35" s="141" t="n">
        <f aca="false">27年9月!J26</f>
        <v>0</v>
      </c>
      <c r="N35" s="141" t="n">
        <f aca="false">27年10月!J26</f>
        <v>0</v>
      </c>
      <c r="O35" s="141" t="n">
        <f aca="false">27年11月!J26</f>
        <v>0</v>
      </c>
      <c r="P35" s="142" t="n">
        <f aca="false">27年12月!J26</f>
        <v>0</v>
      </c>
      <c r="Q35" s="143" t="n">
        <f aca="false">SUM(E35:P35)</f>
        <v>0</v>
      </c>
    </row>
    <row r="36" customFormat="false" ht="22.5" hidden="false" customHeight="true" outlineLevel="0" collapsed="false">
      <c r="A36" s="140"/>
      <c r="B36" s="146"/>
      <c r="C36" s="54" t="s">
        <v>139</v>
      </c>
      <c r="D36" s="66"/>
      <c r="E36" s="141" t="n">
        <f aca="false">27年1月!J27</f>
        <v>0</v>
      </c>
      <c r="F36" s="141" t="n">
        <f aca="false">27年2月!J27</f>
        <v>0</v>
      </c>
      <c r="G36" s="141" t="n">
        <f aca="false">27年3月!J27</f>
        <v>0</v>
      </c>
      <c r="H36" s="141" t="n">
        <f aca="false">27年4月!J27</f>
        <v>0</v>
      </c>
      <c r="I36" s="141" t="n">
        <f aca="false">27年5月!J27</f>
        <v>0</v>
      </c>
      <c r="J36" s="141" t="n">
        <f aca="false">27年6月!J27</f>
        <v>0</v>
      </c>
      <c r="K36" s="141" t="n">
        <f aca="false">27年7月!J27</f>
        <v>0</v>
      </c>
      <c r="L36" s="141" t="n">
        <f aca="false">27年8月!J27</f>
        <v>0</v>
      </c>
      <c r="M36" s="141" t="n">
        <f aca="false">27年9月!J27</f>
        <v>0</v>
      </c>
      <c r="N36" s="141" t="n">
        <f aca="false">27年10月!J27</f>
        <v>0</v>
      </c>
      <c r="O36" s="141" t="n">
        <f aca="false">27年11月!J27</f>
        <v>0</v>
      </c>
      <c r="P36" s="142" t="n">
        <f aca="false">27年12月!J27</f>
        <v>0</v>
      </c>
      <c r="Q36" s="143" t="n">
        <f aca="false">SUM(E36:P36)</f>
        <v>0</v>
      </c>
    </row>
    <row r="37" customFormat="false" ht="22.5" hidden="false" customHeight="true" outlineLevel="0" collapsed="false">
      <c r="A37" s="140"/>
      <c r="B37" s="146"/>
      <c r="C37" s="54" t="s">
        <v>143</v>
      </c>
      <c r="D37" s="66"/>
      <c r="E37" s="141" t="n">
        <f aca="false">27年1月!J28</f>
        <v>0</v>
      </c>
      <c r="F37" s="141" t="n">
        <f aca="false">27年2月!J28</f>
        <v>0</v>
      </c>
      <c r="G37" s="141" t="n">
        <f aca="false">27年3月!J28</f>
        <v>0</v>
      </c>
      <c r="H37" s="141" t="n">
        <f aca="false">27年4月!J28</f>
        <v>0</v>
      </c>
      <c r="I37" s="141" t="n">
        <f aca="false">27年5月!J28</f>
        <v>0</v>
      </c>
      <c r="J37" s="141" t="n">
        <f aca="false">27年6月!J28</f>
        <v>0</v>
      </c>
      <c r="K37" s="141" t="n">
        <f aca="false">27年7月!J28</f>
        <v>0</v>
      </c>
      <c r="L37" s="141" t="n">
        <f aca="false">27年8月!J28</f>
        <v>0</v>
      </c>
      <c r="M37" s="141" t="n">
        <f aca="false">27年9月!J28</f>
        <v>0</v>
      </c>
      <c r="N37" s="141" t="n">
        <f aca="false">27年10月!J28</f>
        <v>0</v>
      </c>
      <c r="O37" s="141" t="n">
        <f aca="false">27年11月!J28</f>
        <v>0</v>
      </c>
      <c r="P37" s="142" t="n">
        <f aca="false">27年12月!J28</f>
        <v>0</v>
      </c>
      <c r="Q37" s="143" t="n">
        <f aca="false">SUM(E37:P37)</f>
        <v>0</v>
      </c>
    </row>
    <row r="38" customFormat="false" ht="22.5" hidden="false" customHeight="true" outlineLevel="0" collapsed="false">
      <c r="A38" s="140"/>
      <c r="B38" s="146"/>
      <c r="C38" s="54" t="s">
        <v>148</v>
      </c>
      <c r="D38" s="66"/>
      <c r="E38" s="141" t="n">
        <f aca="false">27年1月!J29</f>
        <v>0</v>
      </c>
      <c r="F38" s="141" t="n">
        <f aca="false">27年2月!J29</f>
        <v>0</v>
      </c>
      <c r="G38" s="141" t="n">
        <f aca="false">27年3月!J29</f>
        <v>0</v>
      </c>
      <c r="H38" s="141" t="n">
        <f aca="false">27年4月!J29</f>
        <v>0</v>
      </c>
      <c r="I38" s="141" t="n">
        <f aca="false">27年5月!J29</f>
        <v>0</v>
      </c>
      <c r="J38" s="141" t="n">
        <f aca="false">27年6月!J29</f>
        <v>0</v>
      </c>
      <c r="K38" s="141" t="n">
        <f aca="false">27年7月!J29</f>
        <v>0</v>
      </c>
      <c r="L38" s="141" t="n">
        <f aca="false">27年8月!J29</f>
        <v>0</v>
      </c>
      <c r="M38" s="141" t="n">
        <f aca="false">27年9月!J29</f>
        <v>0</v>
      </c>
      <c r="N38" s="141" t="n">
        <f aca="false">27年10月!J29</f>
        <v>0</v>
      </c>
      <c r="O38" s="141" t="n">
        <f aca="false">27年11月!J29</f>
        <v>0</v>
      </c>
      <c r="P38" s="142" t="n">
        <f aca="false">27年12月!J29</f>
        <v>0</v>
      </c>
      <c r="Q38" s="143" t="n">
        <f aca="false">SUM(E38:P38)</f>
        <v>0</v>
      </c>
    </row>
    <row r="39" customFormat="false" ht="22.5" hidden="false" customHeight="true" outlineLevel="0" collapsed="false">
      <c r="A39" s="140"/>
      <c r="B39" s="146"/>
      <c r="C39" s="54" t="s">
        <v>116</v>
      </c>
      <c r="D39" s="66"/>
      <c r="E39" s="141" t="n">
        <f aca="false">27年1月!J30</f>
        <v>0</v>
      </c>
      <c r="F39" s="141" t="n">
        <f aca="false">27年2月!J30</f>
        <v>0</v>
      </c>
      <c r="G39" s="141" t="n">
        <f aca="false">27年3月!J30</f>
        <v>0</v>
      </c>
      <c r="H39" s="141" t="n">
        <f aca="false">27年4月!J30</f>
        <v>0</v>
      </c>
      <c r="I39" s="141" t="n">
        <f aca="false">27年5月!J30</f>
        <v>0</v>
      </c>
      <c r="J39" s="141" t="n">
        <f aca="false">27年6月!J30</f>
        <v>0</v>
      </c>
      <c r="K39" s="141" t="n">
        <f aca="false">27年7月!J30</f>
        <v>0</v>
      </c>
      <c r="L39" s="141" t="n">
        <f aca="false">27年8月!J30</f>
        <v>0</v>
      </c>
      <c r="M39" s="141" t="n">
        <f aca="false">27年9月!J30</f>
        <v>0</v>
      </c>
      <c r="N39" s="141" t="n">
        <f aca="false">27年10月!J30</f>
        <v>0</v>
      </c>
      <c r="O39" s="141" t="n">
        <f aca="false">27年11月!J30</f>
        <v>0</v>
      </c>
      <c r="P39" s="142" t="n">
        <f aca="false">27年12月!J30</f>
        <v>0</v>
      </c>
      <c r="Q39" s="143" t="n">
        <f aca="false">SUM(E39:P39)</f>
        <v>0</v>
      </c>
    </row>
    <row r="40" customFormat="false" ht="22.5" hidden="false" customHeight="true" outlineLevel="0" collapsed="false">
      <c r="A40" s="140"/>
      <c r="B40" s="146"/>
      <c r="C40" s="54" t="s">
        <v>121</v>
      </c>
      <c r="D40" s="66"/>
      <c r="E40" s="141" t="n">
        <f aca="false">27年1月!J31</f>
        <v>0</v>
      </c>
      <c r="F40" s="141" t="n">
        <f aca="false">27年2月!J31</f>
        <v>0</v>
      </c>
      <c r="G40" s="141" t="n">
        <f aca="false">27年3月!J31</f>
        <v>0</v>
      </c>
      <c r="H40" s="141" t="n">
        <f aca="false">27年4月!J31</f>
        <v>0</v>
      </c>
      <c r="I40" s="141" t="n">
        <f aca="false">27年5月!J31</f>
        <v>0</v>
      </c>
      <c r="J40" s="141" t="n">
        <f aca="false">27年6月!J31</f>
        <v>0</v>
      </c>
      <c r="K40" s="141" t="n">
        <f aca="false">27年7月!J31</f>
        <v>0</v>
      </c>
      <c r="L40" s="141" t="n">
        <f aca="false">27年8月!J31</f>
        <v>0</v>
      </c>
      <c r="M40" s="141" t="n">
        <f aca="false">27年9月!J31</f>
        <v>0</v>
      </c>
      <c r="N40" s="141" t="n">
        <f aca="false">27年10月!J31</f>
        <v>0</v>
      </c>
      <c r="O40" s="141" t="n">
        <f aca="false">27年11月!J31</f>
        <v>0</v>
      </c>
      <c r="P40" s="142" t="n">
        <f aca="false">27年12月!J31</f>
        <v>0</v>
      </c>
      <c r="Q40" s="143" t="n">
        <f aca="false">SUM(E40:P40)</f>
        <v>0</v>
      </c>
    </row>
    <row r="41" customFormat="false" ht="22.5" hidden="false" customHeight="true" outlineLevel="0" collapsed="false">
      <c r="A41" s="140"/>
      <c r="B41" s="146"/>
      <c r="C41" s="54" t="s">
        <v>126</v>
      </c>
      <c r="D41" s="66"/>
      <c r="E41" s="141" t="n">
        <f aca="false">27年1月!J32</f>
        <v>0</v>
      </c>
      <c r="F41" s="141" t="n">
        <f aca="false">27年2月!J32</f>
        <v>0</v>
      </c>
      <c r="G41" s="141" t="n">
        <f aca="false">27年3月!J32</f>
        <v>0</v>
      </c>
      <c r="H41" s="141" t="n">
        <f aca="false">27年4月!J32</f>
        <v>0</v>
      </c>
      <c r="I41" s="141" t="n">
        <f aca="false">27年5月!J32</f>
        <v>0</v>
      </c>
      <c r="J41" s="141" t="n">
        <f aca="false">27年6月!J32</f>
        <v>0</v>
      </c>
      <c r="K41" s="141" t="n">
        <f aca="false">27年7月!J32</f>
        <v>0</v>
      </c>
      <c r="L41" s="141" t="n">
        <f aca="false">27年8月!J32</f>
        <v>0</v>
      </c>
      <c r="M41" s="141" t="n">
        <f aca="false">27年9月!J32</f>
        <v>0</v>
      </c>
      <c r="N41" s="141" t="n">
        <f aca="false">27年10月!J32</f>
        <v>0</v>
      </c>
      <c r="O41" s="141" t="n">
        <f aca="false">27年11月!J32</f>
        <v>0</v>
      </c>
      <c r="P41" s="142" t="n">
        <f aca="false">27年12月!J32</f>
        <v>0</v>
      </c>
      <c r="Q41" s="143" t="n">
        <f aca="false">SUM(E41:P41)</f>
        <v>0</v>
      </c>
    </row>
    <row r="42" customFormat="false" ht="22.5" hidden="false" customHeight="true" outlineLevel="0" collapsed="false">
      <c r="A42" s="140"/>
      <c r="B42" s="146"/>
      <c r="C42" s="54" t="s">
        <v>130</v>
      </c>
      <c r="D42" s="66"/>
      <c r="E42" s="141" t="n">
        <f aca="false">27年1月!J33</f>
        <v>0</v>
      </c>
      <c r="F42" s="141" t="n">
        <f aca="false">27年2月!J33</f>
        <v>0</v>
      </c>
      <c r="G42" s="141" t="n">
        <f aca="false">27年3月!J33</f>
        <v>0</v>
      </c>
      <c r="H42" s="141" t="n">
        <f aca="false">27年4月!J33</f>
        <v>0</v>
      </c>
      <c r="I42" s="141" t="n">
        <f aca="false">27年5月!J33</f>
        <v>0</v>
      </c>
      <c r="J42" s="141" t="n">
        <f aca="false">27年6月!J33</f>
        <v>0</v>
      </c>
      <c r="K42" s="141" t="n">
        <f aca="false">27年7月!J33</f>
        <v>0</v>
      </c>
      <c r="L42" s="141" t="n">
        <f aca="false">27年8月!J33</f>
        <v>0</v>
      </c>
      <c r="M42" s="141" t="n">
        <f aca="false">27年9月!J33</f>
        <v>0</v>
      </c>
      <c r="N42" s="141" t="n">
        <f aca="false">27年10月!J33</f>
        <v>0</v>
      </c>
      <c r="O42" s="141" t="n">
        <f aca="false">27年11月!J33</f>
        <v>0</v>
      </c>
      <c r="P42" s="142" t="n">
        <f aca="false">27年12月!J33</f>
        <v>0</v>
      </c>
      <c r="Q42" s="143" t="n">
        <f aca="false">SUM(E42:P42)</f>
        <v>0</v>
      </c>
    </row>
    <row r="43" customFormat="false" ht="22.5" hidden="false" customHeight="true" outlineLevel="0" collapsed="false">
      <c r="A43" s="140"/>
      <c r="B43" s="146"/>
      <c r="C43" s="54" t="s">
        <v>136</v>
      </c>
      <c r="D43" s="66"/>
      <c r="E43" s="141" t="n">
        <f aca="false">27年1月!J34</f>
        <v>0</v>
      </c>
      <c r="F43" s="141" t="n">
        <f aca="false">27年2月!J34</f>
        <v>0</v>
      </c>
      <c r="G43" s="141" t="n">
        <f aca="false">27年3月!J34</f>
        <v>0</v>
      </c>
      <c r="H43" s="141" t="n">
        <f aca="false">27年4月!J34</f>
        <v>0</v>
      </c>
      <c r="I43" s="141" t="n">
        <f aca="false">27年5月!J34</f>
        <v>0</v>
      </c>
      <c r="J43" s="141" t="n">
        <f aca="false">27年6月!J34</f>
        <v>0</v>
      </c>
      <c r="K43" s="141" t="n">
        <f aca="false">27年7月!J34</f>
        <v>0</v>
      </c>
      <c r="L43" s="141" t="n">
        <f aca="false">27年8月!J34</f>
        <v>0</v>
      </c>
      <c r="M43" s="141" t="n">
        <f aca="false">27年9月!J34</f>
        <v>0</v>
      </c>
      <c r="N43" s="141" t="n">
        <f aca="false">27年10月!J34</f>
        <v>0</v>
      </c>
      <c r="O43" s="141" t="n">
        <f aca="false">27年11月!J34</f>
        <v>0</v>
      </c>
      <c r="P43" s="142" t="n">
        <f aca="false">27年12月!J34</f>
        <v>0</v>
      </c>
      <c r="Q43" s="143" t="n">
        <f aca="false">SUM(E43:P43)</f>
        <v>0</v>
      </c>
    </row>
    <row r="44" customFormat="false" ht="22.5" hidden="false" customHeight="true" outlineLevel="0" collapsed="false">
      <c r="A44" s="140"/>
      <c r="B44" s="146"/>
      <c r="C44" s="54" t="s">
        <v>140</v>
      </c>
      <c r="D44" s="66"/>
      <c r="E44" s="141" t="n">
        <f aca="false">27年1月!J35</f>
        <v>0</v>
      </c>
      <c r="F44" s="141" t="n">
        <f aca="false">27年2月!J35</f>
        <v>0</v>
      </c>
      <c r="G44" s="141" t="n">
        <f aca="false">27年3月!J35</f>
        <v>0</v>
      </c>
      <c r="H44" s="141" t="n">
        <f aca="false">27年4月!J35</f>
        <v>0</v>
      </c>
      <c r="I44" s="141" t="n">
        <f aca="false">27年5月!J35</f>
        <v>0</v>
      </c>
      <c r="J44" s="141" t="n">
        <f aca="false">27年6月!J35</f>
        <v>0</v>
      </c>
      <c r="K44" s="141" t="n">
        <f aca="false">27年7月!J35</f>
        <v>0</v>
      </c>
      <c r="L44" s="141" t="n">
        <f aca="false">27年8月!J35</f>
        <v>0</v>
      </c>
      <c r="M44" s="141" t="n">
        <f aca="false">27年9月!J35</f>
        <v>0</v>
      </c>
      <c r="N44" s="141" t="n">
        <f aca="false">27年10月!J35</f>
        <v>0</v>
      </c>
      <c r="O44" s="141" t="n">
        <f aca="false">27年11月!J35</f>
        <v>0</v>
      </c>
      <c r="P44" s="142" t="n">
        <f aca="false">27年12月!J35</f>
        <v>0</v>
      </c>
      <c r="Q44" s="143" t="n">
        <f aca="false">SUM(E44:P44)</f>
        <v>0</v>
      </c>
    </row>
    <row r="45" customFormat="false" ht="22.5" hidden="false" customHeight="true" outlineLevel="0" collapsed="false">
      <c r="A45" s="140"/>
      <c r="B45" s="146"/>
      <c r="C45" s="54" t="s">
        <v>144</v>
      </c>
      <c r="D45" s="66"/>
      <c r="E45" s="141" t="n">
        <f aca="false">27年1月!J36</f>
        <v>0</v>
      </c>
      <c r="F45" s="141" t="n">
        <f aca="false">27年2月!J36</f>
        <v>0</v>
      </c>
      <c r="G45" s="141" t="n">
        <f aca="false">27年3月!J36</f>
        <v>0</v>
      </c>
      <c r="H45" s="141" t="n">
        <f aca="false">27年4月!J36</f>
        <v>0</v>
      </c>
      <c r="I45" s="141" t="n">
        <f aca="false">27年5月!J36</f>
        <v>0</v>
      </c>
      <c r="J45" s="141" t="n">
        <f aca="false">27年6月!J36</f>
        <v>0</v>
      </c>
      <c r="K45" s="141" t="n">
        <f aca="false">27年7月!J36</f>
        <v>0</v>
      </c>
      <c r="L45" s="141" t="n">
        <f aca="false">27年8月!J36</f>
        <v>0</v>
      </c>
      <c r="M45" s="141" t="n">
        <f aca="false">27年9月!J36</f>
        <v>0</v>
      </c>
      <c r="N45" s="141" t="n">
        <f aca="false">27年10月!J36</f>
        <v>0</v>
      </c>
      <c r="O45" s="141" t="n">
        <f aca="false">27年11月!J36</f>
        <v>0</v>
      </c>
      <c r="P45" s="142" t="n">
        <f aca="false">27年12月!J36</f>
        <v>0</v>
      </c>
      <c r="Q45" s="143" t="n">
        <f aca="false">SUM(E45:P45)</f>
        <v>0</v>
      </c>
    </row>
    <row r="46" customFormat="false" ht="22.5" hidden="false" customHeight="true" outlineLevel="0" collapsed="false">
      <c r="A46" s="140"/>
      <c r="B46" s="146"/>
      <c r="C46" s="54" t="s">
        <v>149</v>
      </c>
      <c r="D46" s="66"/>
      <c r="E46" s="141" t="n">
        <f aca="false">27年1月!J37</f>
        <v>0</v>
      </c>
      <c r="F46" s="141" t="n">
        <f aca="false">27年2月!J37</f>
        <v>0</v>
      </c>
      <c r="G46" s="141" t="n">
        <f aca="false">27年3月!J37</f>
        <v>0</v>
      </c>
      <c r="H46" s="141" t="n">
        <f aca="false">27年4月!J37</f>
        <v>0</v>
      </c>
      <c r="I46" s="141" t="n">
        <f aca="false">27年5月!J37</f>
        <v>0</v>
      </c>
      <c r="J46" s="141" t="n">
        <f aca="false">27年6月!J37</f>
        <v>0</v>
      </c>
      <c r="K46" s="141" t="n">
        <f aca="false">27年7月!J37</f>
        <v>0</v>
      </c>
      <c r="L46" s="141" t="n">
        <f aca="false">27年8月!J37</f>
        <v>0</v>
      </c>
      <c r="M46" s="141" t="n">
        <f aca="false">27年9月!J37</f>
        <v>0</v>
      </c>
      <c r="N46" s="141" t="n">
        <f aca="false">27年10月!J37</f>
        <v>0</v>
      </c>
      <c r="O46" s="141" t="n">
        <f aca="false">27年11月!J37</f>
        <v>0</v>
      </c>
      <c r="P46" s="142" t="n">
        <f aca="false">27年12月!J37</f>
        <v>0</v>
      </c>
      <c r="Q46" s="143" t="n">
        <f aca="false">SUM(E46:P46)</f>
        <v>0</v>
      </c>
    </row>
    <row r="47" customFormat="false" ht="22.5" hidden="false" customHeight="true" outlineLevel="0" collapsed="false">
      <c r="A47" s="140"/>
      <c r="B47" s="146"/>
      <c r="C47" s="147" t="s">
        <v>180</v>
      </c>
      <c r="D47" s="147"/>
      <c r="E47" s="148" t="n">
        <f aca="false">SUM(E31:E38)</f>
        <v>0</v>
      </c>
      <c r="F47" s="148" t="n">
        <f aca="false">SUM(F31:F38)</f>
        <v>0</v>
      </c>
      <c r="G47" s="148" t="n">
        <f aca="false">SUM(G31:G38)</f>
        <v>0</v>
      </c>
      <c r="H47" s="148" t="n">
        <f aca="false">SUM(H31:H38)</f>
        <v>0</v>
      </c>
      <c r="I47" s="148" t="n">
        <f aca="false">SUM(I31:I38)</f>
        <v>0</v>
      </c>
      <c r="J47" s="148" t="n">
        <f aca="false">SUM(J31:J38)</f>
        <v>0</v>
      </c>
      <c r="K47" s="148" t="n">
        <f aca="false">SUM(K31:K38)</f>
        <v>0</v>
      </c>
      <c r="L47" s="148" t="n">
        <f aca="false">SUM(L31:L38)</f>
        <v>0</v>
      </c>
      <c r="M47" s="148" t="n">
        <f aca="false">SUM(M31:M38)</f>
        <v>0</v>
      </c>
      <c r="N47" s="148" t="n">
        <f aca="false">SUM(N31:N38)</f>
        <v>0</v>
      </c>
      <c r="O47" s="148" t="n">
        <f aca="false">SUM(O31:O38)</f>
        <v>0</v>
      </c>
      <c r="P47" s="149" t="n">
        <f aca="false">SUM(P31:P38)</f>
        <v>0</v>
      </c>
      <c r="Q47" s="143" t="n">
        <f aca="false">SUM(E47:P47)</f>
        <v>0</v>
      </c>
    </row>
    <row r="48" customFormat="false" ht="22.5" hidden="false" customHeight="true" outlineLevel="0" collapsed="false">
      <c r="A48" s="140"/>
      <c r="B48" s="146"/>
      <c r="C48" s="147" t="s">
        <v>181</v>
      </c>
      <c r="D48" s="147"/>
      <c r="E48" s="148" t="n">
        <f aca="false">SUM(E39:E46)</f>
        <v>0</v>
      </c>
      <c r="F48" s="148" t="n">
        <f aca="false">SUM(F39:F46)</f>
        <v>0</v>
      </c>
      <c r="G48" s="148" t="n">
        <f aca="false">SUM(G39:G46)</f>
        <v>0</v>
      </c>
      <c r="H48" s="148" t="n">
        <f aca="false">SUM(H39:H46)</f>
        <v>0</v>
      </c>
      <c r="I48" s="148" t="n">
        <f aca="false">SUM(I39:I46)</f>
        <v>0</v>
      </c>
      <c r="J48" s="148" t="n">
        <f aca="false">SUM(J39:J46)</f>
        <v>0</v>
      </c>
      <c r="K48" s="148" t="n">
        <f aca="false">SUM(K39:K46)</f>
        <v>0</v>
      </c>
      <c r="L48" s="148" t="n">
        <f aca="false">SUM(L39:L46)</f>
        <v>0</v>
      </c>
      <c r="M48" s="148" t="n">
        <f aca="false">SUM(M39:M46)</f>
        <v>0</v>
      </c>
      <c r="N48" s="148" t="n">
        <f aca="false">SUM(N39:N46)</f>
        <v>0</v>
      </c>
      <c r="O48" s="148" t="n">
        <f aca="false">SUM(O39:O46)</f>
        <v>0</v>
      </c>
      <c r="P48" s="149" t="n">
        <f aca="false">SUM(P39:P46)</f>
        <v>0</v>
      </c>
      <c r="Q48" s="143" t="n">
        <f aca="false">SUM(E48:P48)</f>
        <v>0</v>
      </c>
    </row>
    <row r="49" customFormat="false" ht="22.5" hidden="false" customHeight="true" outlineLevel="0" collapsed="false">
      <c r="A49" s="140"/>
      <c r="B49" s="71" t="s">
        <v>182</v>
      </c>
      <c r="C49" s="71"/>
      <c r="D49" s="71"/>
      <c r="E49" s="144" t="n">
        <f aca="false">E29+E47</f>
        <v>0</v>
      </c>
      <c r="F49" s="144" t="n">
        <f aca="false">F29+F47</f>
        <v>0</v>
      </c>
      <c r="G49" s="144" t="n">
        <f aca="false">G29+G47</f>
        <v>0</v>
      </c>
      <c r="H49" s="144" t="n">
        <f aca="false">H29+H47</f>
        <v>0</v>
      </c>
      <c r="I49" s="144" t="n">
        <f aca="false">I29+I47</f>
        <v>0</v>
      </c>
      <c r="J49" s="144" t="n">
        <f aca="false">J29+J47</f>
        <v>0</v>
      </c>
      <c r="K49" s="144" t="n">
        <f aca="false">K29+K47</f>
        <v>0</v>
      </c>
      <c r="L49" s="144" t="n">
        <f aca="false">L29+L47</f>
        <v>0</v>
      </c>
      <c r="M49" s="144" t="n">
        <f aca="false">M29+M47</f>
        <v>0</v>
      </c>
      <c r="N49" s="144" t="n">
        <f aca="false">N29+N47</f>
        <v>0</v>
      </c>
      <c r="O49" s="144" t="n">
        <f aca="false">O29+O47</f>
        <v>0</v>
      </c>
      <c r="P49" s="145" t="n">
        <f aca="false">P29+P47</f>
        <v>0</v>
      </c>
      <c r="Q49" s="143" t="n">
        <f aca="false">SUM(E49:P49)</f>
        <v>0</v>
      </c>
    </row>
    <row r="50" customFormat="false" ht="22.5" hidden="false" customHeight="true" outlineLevel="0" collapsed="false">
      <c r="A50" s="140"/>
      <c r="B50" s="71" t="s">
        <v>183</v>
      </c>
      <c r="C50" s="71"/>
      <c r="D50" s="71"/>
      <c r="E50" s="144" t="n">
        <f aca="false">E30+E48</f>
        <v>0</v>
      </c>
      <c r="F50" s="144" t="n">
        <f aca="false">F30+F48</f>
        <v>0</v>
      </c>
      <c r="G50" s="144" t="n">
        <f aca="false">G30+G48</f>
        <v>0</v>
      </c>
      <c r="H50" s="144" t="n">
        <f aca="false">H30+H48</f>
        <v>0</v>
      </c>
      <c r="I50" s="144" t="n">
        <f aca="false">I30+I48</f>
        <v>0</v>
      </c>
      <c r="J50" s="144" t="n">
        <f aca="false">J30+J48</f>
        <v>0</v>
      </c>
      <c r="K50" s="144" t="n">
        <f aca="false">K30+K48</f>
        <v>0</v>
      </c>
      <c r="L50" s="144" t="n">
        <f aca="false">L30+L48</f>
        <v>0</v>
      </c>
      <c r="M50" s="144" t="n">
        <f aca="false">M30+M48</f>
        <v>0</v>
      </c>
      <c r="N50" s="144" t="n">
        <f aca="false">N30+N48</f>
        <v>0</v>
      </c>
      <c r="O50" s="144" t="n">
        <f aca="false">O30+O48</f>
        <v>0</v>
      </c>
      <c r="P50" s="145" t="n">
        <f aca="false">P30+P48</f>
        <v>0</v>
      </c>
      <c r="Q50" s="143" t="n">
        <f aca="false">SUM(E50:P50)</f>
        <v>0</v>
      </c>
    </row>
    <row r="51" customFormat="false" ht="22.5" hidden="false" customHeight="true" outlineLevel="0" collapsed="false">
      <c r="A51" s="140"/>
      <c r="B51" s="71" t="s">
        <v>184</v>
      </c>
      <c r="C51" s="71"/>
      <c r="D51" s="150" t="s">
        <v>185</v>
      </c>
      <c r="E51" s="151" t="n">
        <f aca="false">IFERROR(E49/E13,0)</f>
        <v>0</v>
      </c>
      <c r="F51" s="151" t="n">
        <f aca="false">IFERROR(F49/F13,0)</f>
        <v>0</v>
      </c>
      <c r="G51" s="151" t="n">
        <f aca="false">IFERROR(G49/G13,0)</f>
        <v>0</v>
      </c>
      <c r="H51" s="151" t="n">
        <f aca="false">IFERROR(H49/H13,0)</f>
        <v>0</v>
      </c>
      <c r="I51" s="151" t="n">
        <f aca="false">IFERROR(I49/I13,0)</f>
        <v>0</v>
      </c>
      <c r="J51" s="151" t="n">
        <f aca="false">IFERROR(J49/J13,0)</f>
        <v>0</v>
      </c>
      <c r="K51" s="151" t="n">
        <f aca="false">IFERROR(K49/K13,0)</f>
        <v>0</v>
      </c>
      <c r="L51" s="151" t="n">
        <f aca="false">IFERROR(L49/L13,0)</f>
        <v>0</v>
      </c>
      <c r="M51" s="151" t="n">
        <f aca="false">IFERROR(M49/M13,0)</f>
        <v>0</v>
      </c>
      <c r="N51" s="151" t="n">
        <f aca="false">IFERROR(N49/N13,0)</f>
        <v>0</v>
      </c>
      <c r="O51" s="151" t="n">
        <f aca="false">IFERROR(O49/O13,0)</f>
        <v>0</v>
      </c>
      <c r="P51" s="152" t="n">
        <f aca="false">IFERROR(P49/P13,0)</f>
        <v>0</v>
      </c>
      <c r="Q51" s="153" t="n">
        <f aca="false">AVERAGE(E51:P51)</f>
        <v>0</v>
      </c>
    </row>
    <row r="52" customFormat="false" ht="22.5" hidden="false" customHeight="true" outlineLevel="0" collapsed="false">
      <c r="A52" s="140"/>
      <c r="B52" s="71" t="s">
        <v>186</v>
      </c>
      <c r="C52" s="71"/>
      <c r="D52" s="150" t="s">
        <v>185</v>
      </c>
      <c r="E52" s="151" t="n">
        <f aca="false">IFERROR(E50/E14,0)</f>
        <v>0</v>
      </c>
      <c r="F52" s="151" t="n">
        <f aca="false">IFERROR(F50/F14,0)</f>
        <v>0</v>
      </c>
      <c r="G52" s="151" t="n">
        <f aca="false">IFERROR(G50/G14,0)</f>
        <v>0</v>
      </c>
      <c r="H52" s="151" t="n">
        <f aca="false">IFERROR(H50/H14,0)</f>
        <v>0</v>
      </c>
      <c r="I52" s="151" t="n">
        <f aca="false">IFERROR(I50/I14,0)</f>
        <v>0</v>
      </c>
      <c r="J52" s="151" t="n">
        <f aca="false">IFERROR(J50/J14,0)</f>
        <v>0</v>
      </c>
      <c r="K52" s="151" t="n">
        <f aca="false">IFERROR(K50/K14,0)</f>
        <v>0</v>
      </c>
      <c r="L52" s="151" t="n">
        <f aca="false">IFERROR(L50/L14,0)</f>
        <v>0</v>
      </c>
      <c r="M52" s="151" t="n">
        <f aca="false">IFERROR(M50/M14,0)</f>
        <v>0</v>
      </c>
      <c r="N52" s="151" t="n">
        <f aca="false">IFERROR(N50/N14,0)</f>
        <v>0</v>
      </c>
      <c r="O52" s="151" t="n">
        <f aca="false">IFERROR(O50/O14,0)</f>
        <v>0</v>
      </c>
      <c r="P52" s="152" t="n">
        <f aca="false">IFERROR(P50/P14,0)</f>
        <v>0</v>
      </c>
      <c r="Q52" s="153" t="n">
        <f aca="false">AVERAGE(E52:P52)</f>
        <v>0</v>
      </c>
    </row>
    <row r="53" customFormat="false" ht="22.5" hidden="false" customHeight="true" outlineLevel="0" collapsed="false">
      <c r="A53" s="140" t="s">
        <v>17</v>
      </c>
      <c r="B53" s="140"/>
      <c r="C53" s="54" t="s">
        <v>110</v>
      </c>
      <c r="D53" s="66"/>
      <c r="E53" s="141" t="n">
        <f aca="false">27年1月!J7</f>
        <v>0</v>
      </c>
      <c r="F53" s="141" t="n">
        <f aca="false">27年2月!J7</f>
        <v>0</v>
      </c>
      <c r="G53" s="141" t="n">
        <f aca="false">27年3月!J7</f>
        <v>0</v>
      </c>
      <c r="H53" s="141" t="n">
        <f aca="false">27年4月!J7</f>
        <v>0</v>
      </c>
      <c r="I53" s="141" t="n">
        <f aca="false">27年5月!J7</f>
        <v>0</v>
      </c>
      <c r="J53" s="141" t="n">
        <f aca="false">27年6月!J7</f>
        <v>0</v>
      </c>
      <c r="K53" s="141" t="n">
        <f aca="false">27年7月!J7</f>
        <v>0</v>
      </c>
      <c r="L53" s="141" t="n">
        <f aca="false">27年8月!J7</f>
        <v>0</v>
      </c>
      <c r="M53" s="141" t="n">
        <f aca="false">27年9月!J7</f>
        <v>0</v>
      </c>
      <c r="N53" s="141" t="n">
        <f aca="false">27年10月!J7</f>
        <v>0</v>
      </c>
      <c r="O53" s="141" t="n">
        <f aca="false">27年11月!J7</f>
        <v>0</v>
      </c>
      <c r="P53" s="142" t="n">
        <f aca="false">27年12月!J7</f>
        <v>0</v>
      </c>
      <c r="Q53" s="143" t="n">
        <f aca="false">SUM(E53:P53)</f>
        <v>0</v>
      </c>
    </row>
    <row r="54" customFormat="false" ht="22.5" hidden="false" customHeight="true" outlineLevel="0" collapsed="false">
      <c r="A54" s="140"/>
      <c r="B54" s="140"/>
      <c r="C54" s="54" t="s">
        <v>113</v>
      </c>
      <c r="D54" s="66"/>
      <c r="E54" s="141" t="n">
        <f aca="false">27年1月!J8</f>
        <v>0</v>
      </c>
      <c r="F54" s="141" t="n">
        <f aca="false">27年2月!J8</f>
        <v>0</v>
      </c>
      <c r="G54" s="141" t="n">
        <f aca="false">27年3月!J8</f>
        <v>0</v>
      </c>
      <c r="H54" s="141" t="n">
        <f aca="false">27年4月!J8</f>
        <v>0</v>
      </c>
      <c r="I54" s="141" t="n">
        <f aca="false">27年5月!J8</f>
        <v>0</v>
      </c>
      <c r="J54" s="141" t="n">
        <f aca="false">27年6月!J8</f>
        <v>0</v>
      </c>
      <c r="K54" s="141" t="n">
        <f aca="false">27年7月!J8</f>
        <v>0</v>
      </c>
      <c r="L54" s="141" t="n">
        <f aca="false">27年8月!J8</f>
        <v>0</v>
      </c>
      <c r="M54" s="141" t="n">
        <f aca="false">27年9月!J8</f>
        <v>0</v>
      </c>
      <c r="N54" s="141" t="n">
        <f aca="false">27年10月!J8</f>
        <v>0</v>
      </c>
      <c r="O54" s="141" t="n">
        <f aca="false">27年11月!J8</f>
        <v>0</v>
      </c>
      <c r="P54" s="142" t="n">
        <f aca="false">27年12月!J8</f>
        <v>0</v>
      </c>
      <c r="Q54" s="143" t="n">
        <f aca="false">SUM(E54:P54)</f>
        <v>0</v>
      </c>
    </row>
    <row r="55" customFormat="false" ht="22.5" hidden="false" customHeight="true" outlineLevel="0" collapsed="false">
      <c r="A55" s="140"/>
      <c r="B55" s="140"/>
      <c r="C55" s="54" t="s">
        <v>118</v>
      </c>
      <c r="D55" s="66"/>
      <c r="E55" s="141" t="n">
        <f aca="false">27年1月!J9</f>
        <v>0</v>
      </c>
      <c r="F55" s="141" t="n">
        <f aca="false">27年2月!J9</f>
        <v>0</v>
      </c>
      <c r="G55" s="141" t="n">
        <f aca="false">27年3月!J9</f>
        <v>0</v>
      </c>
      <c r="H55" s="141" t="n">
        <f aca="false">27年4月!J9</f>
        <v>0</v>
      </c>
      <c r="I55" s="141" t="n">
        <f aca="false">27年5月!J9</f>
        <v>0</v>
      </c>
      <c r="J55" s="141" t="n">
        <f aca="false">27年6月!J9</f>
        <v>0</v>
      </c>
      <c r="K55" s="141" t="n">
        <f aca="false">27年7月!J9</f>
        <v>0</v>
      </c>
      <c r="L55" s="141" t="n">
        <f aca="false">27年8月!J9</f>
        <v>0</v>
      </c>
      <c r="M55" s="141" t="n">
        <f aca="false">27年9月!J9</f>
        <v>0</v>
      </c>
      <c r="N55" s="141" t="n">
        <f aca="false">27年10月!J9</f>
        <v>0</v>
      </c>
      <c r="O55" s="141" t="n">
        <f aca="false">27年11月!J9</f>
        <v>0</v>
      </c>
      <c r="P55" s="142" t="n">
        <f aca="false">27年12月!J9</f>
        <v>0</v>
      </c>
      <c r="Q55" s="143" t="n">
        <f aca="false">SUM(E55:P55)</f>
        <v>0</v>
      </c>
    </row>
    <row r="56" customFormat="false" ht="22.5" hidden="false" customHeight="true" outlineLevel="0" collapsed="false">
      <c r="A56" s="140"/>
      <c r="B56" s="140"/>
      <c r="C56" s="54" t="s">
        <v>123</v>
      </c>
      <c r="D56" s="66"/>
      <c r="E56" s="141" t="n">
        <f aca="false">27年1月!J10</f>
        <v>0</v>
      </c>
      <c r="F56" s="141" t="n">
        <f aca="false">27年2月!J10</f>
        <v>0</v>
      </c>
      <c r="G56" s="141" t="n">
        <f aca="false">27年3月!J10</f>
        <v>0</v>
      </c>
      <c r="H56" s="141" t="n">
        <f aca="false">27年4月!J10</f>
        <v>0</v>
      </c>
      <c r="I56" s="141" t="n">
        <f aca="false">27年5月!J10</f>
        <v>0</v>
      </c>
      <c r="J56" s="141" t="n">
        <f aca="false">27年6月!J10</f>
        <v>0</v>
      </c>
      <c r="K56" s="141" t="n">
        <f aca="false">27年7月!J10</f>
        <v>0</v>
      </c>
      <c r="L56" s="141" t="n">
        <f aca="false">27年8月!J10</f>
        <v>0</v>
      </c>
      <c r="M56" s="141" t="n">
        <f aca="false">27年9月!J10</f>
        <v>0</v>
      </c>
      <c r="N56" s="141" t="n">
        <f aca="false">27年10月!J10</f>
        <v>0</v>
      </c>
      <c r="O56" s="141" t="n">
        <f aca="false">27年11月!J10</f>
        <v>0</v>
      </c>
      <c r="P56" s="142" t="n">
        <f aca="false">27年12月!J10</f>
        <v>0</v>
      </c>
      <c r="Q56" s="143" t="n">
        <f aca="false">SUM(E56:P56)</f>
        <v>0</v>
      </c>
    </row>
    <row r="57" customFormat="false" ht="22.5" hidden="false" customHeight="true" outlineLevel="0" collapsed="false">
      <c r="A57" s="140"/>
      <c r="B57" s="140"/>
      <c r="C57" s="54" t="s">
        <v>128</v>
      </c>
      <c r="D57" s="66"/>
      <c r="E57" s="141" t="n">
        <f aca="false">27年1月!J11</f>
        <v>0</v>
      </c>
      <c r="F57" s="141" t="n">
        <f aca="false">27年2月!J14</f>
        <v>0</v>
      </c>
      <c r="G57" s="141" t="n">
        <f aca="false">27年3月!J14</f>
        <v>0</v>
      </c>
      <c r="H57" s="141" t="n">
        <f aca="false">27年4月!J14</f>
        <v>0</v>
      </c>
      <c r="I57" s="141" t="n">
        <f aca="false">27年5月!J14</f>
        <v>0</v>
      </c>
      <c r="J57" s="141" t="n">
        <f aca="false">27年6月!J14</f>
        <v>0</v>
      </c>
      <c r="K57" s="141" t="n">
        <f aca="false">27年7月!J14</f>
        <v>0</v>
      </c>
      <c r="L57" s="141" t="n">
        <f aca="false">27年8月!J14</f>
        <v>0</v>
      </c>
      <c r="M57" s="141" t="n">
        <f aca="false">27年9月!J14</f>
        <v>0</v>
      </c>
      <c r="N57" s="141" t="n">
        <f aca="false">27年10月!J14</f>
        <v>0</v>
      </c>
      <c r="O57" s="141" t="n">
        <f aca="false">27年11月!J14</f>
        <v>0</v>
      </c>
      <c r="P57" s="142" t="n">
        <f aca="false">27年12月!J14</f>
        <v>0</v>
      </c>
      <c r="Q57" s="143" t="n">
        <f aca="false">SUM(E57:P57)</f>
        <v>0</v>
      </c>
    </row>
    <row r="58" customFormat="false" ht="22.5" hidden="false" customHeight="true" outlineLevel="0" collapsed="false">
      <c r="A58" s="140"/>
      <c r="B58" s="140"/>
      <c r="C58" s="54" t="s">
        <v>132</v>
      </c>
      <c r="D58" s="66"/>
      <c r="E58" s="141" t="n">
        <f aca="false">27年1月!J12</f>
        <v>0</v>
      </c>
      <c r="F58" s="141" t="n">
        <f aca="false">27年2月!J15</f>
        <v>0</v>
      </c>
      <c r="G58" s="141" t="n">
        <f aca="false">27年3月!J15</f>
        <v>0</v>
      </c>
      <c r="H58" s="141" t="n">
        <f aca="false">27年4月!J15</f>
        <v>0</v>
      </c>
      <c r="I58" s="141" t="n">
        <f aca="false">27年5月!J15</f>
        <v>0</v>
      </c>
      <c r="J58" s="141" t="n">
        <f aca="false">27年6月!J15</f>
        <v>0</v>
      </c>
      <c r="K58" s="141" t="n">
        <f aca="false">27年7月!J15</f>
        <v>0</v>
      </c>
      <c r="L58" s="141" t="n">
        <f aca="false">27年8月!J15</f>
        <v>0</v>
      </c>
      <c r="M58" s="141" t="n">
        <f aca="false">27年9月!J15</f>
        <v>0</v>
      </c>
      <c r="N58" s="141" t="n">
        <f aca="false">27年10月!J15</f>
        <v>0</v>
      </c>
      <c r="O58" s="141" t="n">
        <f aca="false">27年11月!J15</f>
        <v>0</v>
      </c>
      <c r="P58" s="142" t="n">
        <f aca="false">27年12月!J15</f>
        <v>0</v>
      </c>
      <c r="Q58" s="143" t="n">
        <f aca="false">SUM(E58:P58)</f>
        <v>0</v>
      </c>
    </row>
    <row r="59" customFormat="false" ht="22.5" hidden="false" customHeight="true" outlineLevel="0" collapsed="false">
      <c r="A59" s="140"/>
      <c r="B59" s="140"/>
      <c r="C59" s="54" t="s">
        <v>138</v>
      </c>
      <c r="D59" s="66"/>
      <c r="E59" s="141" t="n">
        <f aca="false">27年1月!J13</f>
        <v>0</v>
      </c>
      <c r="F59" s="141" t="n">
        <f aca="false">27年2月!J16</f>
        <v>0</v>
      </c>
      <c r="G59" s="141" t="n">
        <f aca="false">27年3月!J16</f>
        <v>0</v>
      </c>
      <c r="H59" s="141" t="n">
        <f aca="false">27年4月!J16</f>
        <v>0</v>
      </c>
      <c r="I59" s="141" t="n">
        <f aca="false">27年5月!J16</f>
        <v>0</v>
      </c>
      <c r="J59" s="141" t="n">
        <f aca="false">27年6月!J16</f>
        <v>0</v>
      </c>
      <c r="K59" s="141" t="n">
        <f aca="false">27年7月!J16</f>
        <v>0</v>
      </c>
      <c r="L59" s="141" t="n">
        <f aca="false">27年8月!J16</f>
        <v>0</v>
      </c>
      <c r="M59" s="141" t="n">
        <f aca="false">27年9月!J16</f>
        <v>0</v>
      </c>
      <c r="N59" s="141" t="n">
        <f aca="false">27年10月!J16</f>
        <v>0</v>
      </c>
      <c r="O59" s="141" t="n">
        <f aca="false">27年11月!J16</f>
        <v>0</v>
      </c>
      <c r="P59" s="142" t="n">
        <f aca="false">27年12月!J16</f>
        <v>0</v>
      </c>
      <c r="Q59" s="143" t="n">
        <f aca="false">SUM(E59:P59)</f>
        <v>0</v>
      </c>
    </row>
    <row r="60" customFormat="false" ht="22.5" hidden="false" customHeight="true" outlineLevel="0" collapsed="false">
      <c r="A60" s="140"/>
      <c r="B60" s="140"/>
      <c r="C60" s="54" t="s">
        <v>142</v>
      </c>
      <c r="D60" s="66"/>
      <c r="E60" s="141" t="n">
        <f aca="false">27年1月!J14</f>
        <v>0</v>
      </c>
      <c r="F60" s="141" t="n">
        <f aca="false">27年2月!J17</f>
        <v>0</v>
      </c>
      <c r="G60" s="141" t="n">
        <f aca="false">27年3月!J17</f>
        <v>0</v>
      </c>
      <c r="H60" s="141" t="n">
        <f aca="false">27年4月!J17</f>
        <v>0</v>
      </c>
      <c r="I60" s="141" t="n">
        <f aca="false">27年5月!J17</f>
        <v>0</v>
      </c>
      <c r="J60" s="141" t="n">
        <f aca="false">27年6月!J17</f>
        <v>0</v>
      </c>
      <c r="K60" s="141" t="n">
        <f aca="false">27年7月!J17</f>
        <v>0</v>
      </c>
      <c r="L60" s="141" t="n">
        <f aca="false">27年8月!J17</f>
        <v>0</v>
      </c>
      <c r="M60" s="141" t="n">
        <f aca="false">27年9月!J17</f>
        <v>0</v>
      </c>
      <c r="N60" s="141" t="n">
        <f aca="false">27年10月!J17</f>
        <v>0</v>
      </c>
      <c r="O60" s="141" t="n">
        <f aca="false">27年11月!J17</f>
        <v>0</v>
      </c>
      <c r="P60" s="142" t="n">
        <f aca="false">27年12月!J17</f>
        <v>0</v>
      </c>
      <c r="Q60" s="143" t="n">
        <f aca="false">SUM(E60:P60)</f>
        <v>0</v>
      </c>
    </row>
    <row r="61" customFormat="false" ht="22.5" hidden="false" customHeight="true" outlineLevel="0" collapsed="false">
      <c r="A61" s="140"/>
      <c r="B61" s="140"/>
      <c r="C61" s="71" t="s">
        <v>187</v>
      </c>
      <c r="D61" s="71"/>
      <c r="E61" s="144" t="n">
        <f aca="false">SUM(E53:E56)</f>
        <v>0</v>
      </c>
      <c r="F61" s="144" t="n">
        <f aca="false">SUM(F53:F56)</f>
        <v>0</v>
      </c>
      <c r="G61" s="144" t="n">
        <f aca="false">SUM(G53:G56)</f>
        <v>0</v>
      </c>
      <c r="H61" s="144" t="n">
        <f aca="false">SUM(H53:H56)</f>
        <v>0</v>
      </c>
      <c r="I61" s="144" t="n">
        <f aca="false">SUM(I53:I56)</f>
        <v>0</v>
      </c>
      <c r="J61" s="144" t="n">
        <f aca="false">SUM(J53:J56)</f>
        <v>0</v>
      </c>
      <c r="K61" s="144" t="n">
        <f aca="false">SUM(K53:K56)</f>
        <v>0</v>
      </c>
      <c r="L61" s="144" t="n">
        <f aca="false">SUM(L53:L56)</f>
        <v>0</v>
      </c>
      <c r="M61" s="144" t="n">
        <f aca="false">SUM(M53:M56)</f>
        <v>0</v>
      </c>
      <c r="N61" s="144" t="n">
        <f aca="false">SUM(N53:N56)</f>
        <v>0</v>
      </c>
      <c r="O61" s="144" t="n">
        <f aca="false">SUM(O53:O56)</f>
        <v>0</v>
      </c>
      <c r="P61" s="145" t="n">
        <f aca="false">SUM(P53:P56)</f>
        <v>0</v>
      </c>
      <c r="Q61" s="143" t="n">
        <f aca="false">SUM(E61:P61)</f>
        <v>0</v>
      </c>
    </row>
    <row r="62" customFormat="false" ht="22.5" hidden="false" customHeight="true" outlineLevel="0" collapsed="false">
      <c r="A62" s="140"/>
      <c r="B62" s="140"/>
      <c r="C62" s="71" t="s">
        <v>188</v>
      </c>
      <c r="D62" s="71"/>
      <c r="E62" s="144" t="n">
        <f aca="false">SUM(E57:E60)</f>
        <v>0</v>
      </c>
      <c r="F62" s="144" t="n">
        <f aca="false">SUM(F57:F60)</f>
        <v>0</v>
      </c>
      <c r="G62" s="144" t="n">
        <f aca="false">SUM(G57:G60)</f>
        <v>0</v>
      </c>
      <c r="H62" s="144" t="n">
        <f aca="false">SUM(H57:H60)</f>
        <v>0</v>
      </c>
      <c r="I62" s="144" t="n">
        <f aca="false">SUM(I57:I60)</f>
        <v>0</v>
      </c>
      <c r="J62" s="144" t="n">
        <f aca="false">SUM(J57:J60)</f>
        <v>0</v>
      </c>
      <c r="K62" s="144" t="n">
        <f aca="false">SUM(K57:K60)</f>
        <v>0</v>
      </c>
      <c r="L62" s="144" t="n">
        <f aca="false">SUM(L57:L60)</f>
        <v>0</v>
      </c>
      <c r="M62" s="144" t="n">
        <f aca="false">SUM(M57:M60)</f>
        <v>0</v>
      </c>
      <c r="N62" s="144" t="n">
        <f aca="false">SUM(N57:N60)</f>
        <v>0</v>
      </c>
      <c r="O62" s="144" t="n">
        <f aca="false">SUM(O57:O60)</f>
        <v>0</v>
      </c>
      <c r="P62" s="145" t="n">
        <f aca="false">SUM(P57:P60)</f>
        <v>0</v>
      </c>
      <c r="Q62" s="143" t="n">
        <f aca="false">SUM(E62:P62)</f>
        <v>0</v>
      </c>
    </row>
    <row r="63" customFormat="false" ht="22.5" hidden="false" customHeight="true" outlineLevel="0" collapsed="false">
      <c r="A63" s="154" t="s">
        <v>189</v>
      </c>
      <c r="B63" s="154"/>
      <c r="C63" s="155" t="s">
        <v>190</v>
      </c>
      <c r="D63" s="155"/>
      <c r="E63" s="148" t="n">
        <f aca="false">E13-E61-E49</f>
        <v>0</v>
      </c>
      <c r="F63" s="148" t="n">
        <f aca="false">F13-F61-F49</f>
        <v>0</v>
      </c>
      <c r="G63" s="148" t="n">
        <f aca="false">G13-G61-G49</f>
        <v>0</v>
      </c>
      <c r="H63" s="148" t="n">
        <f aca="false">H13-H61-H49</f>
        <v>0</v>
      </c>
      <c r="I63" s="148" t="n">
        <f aca="false">I13-I61-I49</f>
        <v>0</v>
      </c>
      <c r="J63" s="148" t="n">
        <f aca="false">J13-J61-J49</f>
        <v>0</v>
      </c>
      <c r="K63" s="148" t="n">
        <f aca="false">K13-K61-K49</f>
        <v>0</v>
      </c>
      <c r="L63" s="148" t="n">
        <f aca="false">L13-L61-L49</f>
        <v>0</v>
      </c>
      <c r="M63" s="148" t="n">
        <f aca="false">M13-M61-M49</f>
        <v>0</v>
      </c>
      <c r="N63" s="148" t="n">
        <f aca="false">N13-N61-N49</f>
        <v>0</v>
      </c>
      <c r="O63" s="148" t="n">
        <f aca="false">O13-O61-O49</f>
        <v>0</v>
      </c>
      <c r="P63" s="149" t="n">
        <f aca="false">P13-P61-P49</f>
        <v>0</v>
      </c>
      <c r="Q63" s="143" t="n">
        <f aca="false">SUM(E63:P63)</f>
        <v>0</v>
      </c>
    </row>
    <row r="64" customFormat="false" ht="22.5" hidden="false" customHeight="true" outlineLevel="0" collapsed="false">
      <c r="A64" s="154"/>
      <c r="B64" s="154"/>
      <c r="C64" s="155" t="s">
        <v>191</v>
      </c>
      <c r="D64" s="155"/>
      <c r="E64" s="148" t="n">
        <f aca="false">E61+E63</f>
        <v>0</v>
      </c>
      <c r="F64" s="148" t="n">
        <f aca="false">F61+F63</f>
        <v>0</v>
      </c>
      <c r="G64" s="148" t="n">
        <f aca="false">G61+G63</f>
        <v>0</v>
      </c>
      <c r="H64" s="148" t="n">
        <f aca="false">H61+H63</f>
        <v>0</v>
      </c>
      <c r="I64" s="148" t="n">
        <f aca="false">I61+I63</f>
        <v>0</v>
      </c>
      <c r="J64" s="148" t="n">
        <f aca="false">J61+J63</f>
        <v>0</v>
      </c>
      <c r="K64" s="148" t="n">
        <f aca="false">K61+K63</f>
        <v>0</v>
      </c>
      <c r="L64" s="148" t="n">
        <f aca="false">L61+L63</f>
        <v>0</v>
      </c>
      <c r="M64" s="148" t="n">
        <f aca="false">M61+M63</f>
        <v>0</v>
      </c>
      <c r="N64" s="148" t="n">
        <f aca="false">N61+N63</f>
        <v>0</v>
      </c>
      <c r="O64" s="148" t="n">
        <f aca="false">O61+O63</f>
        <v>0</v>
      </c>
      <c r="P64" s="149" t="n">
        <f aca="false">P61+P63</f>
        <v>0</v>
      </c>
      <c r="Q64" s="143" t="n">
        <f aca="false">SUM(E64:P64)</f>
        <v>0</v>
      </c>
    </row>
    <row r="65" customFormat="false" ht="22.5" hidden="false" customHeight="true" outlineLevel="0" collapsed="false">
      <c r="A65" s="154"/>
      <c r="B65" s="154"/>
      <c r="C65" s="155" t="s">
        <v>192</v>
      </c>
      <c r="D65" s="156" t="s">
        <v>193</v>
      </c>
      <c r="E65" s="157" t="n">
        <f aca="false">IFERROR(E64/E13,0)</f>
        <v>0</v>
      </c>
      <c r="F65" s="157" t="n">
        <f aca="false">IFERROR(F64/F13,0)</f>
        <v>0</v>
      </c>
      <c r="G65" s="157" t="n">
        <f aca="false">IFERROR(G64/G13,0)</f>
        <v>0</v>
      </c>
      <c r="H65" s="157" t="n">
        <f aca="false">IFERROR(H64/H13,0)</f>
        <v>0</v>
      </c>
      <c r="I65" s="157" t="n">
        <f aca="false">IFERROR(I64/I13,0)</f>
        <v>0</v>
      </c>
      <c r="J65" s="157" t="n">
        <f aca="false">IFERROR(J64/J13,0)</f>
        <v>0</v>
      </c>
      <c r="K65" s="157" t="n">
        <f aca="false">IFERROR(K64/K13,0)</f>
        <v>0</v>
      </c>
      <c r="L65" s="157" t="n">
        <f aca="false">IFERROR(L64/L13,0)</f>
        <v>0</v>
      </c>
      <c r="M65" s="157" t="n">
        <f aca="false">IFERROR(M64/M13,0)</f>
        <v>0</v>
      </c>
      <c r="N65" s="157" t="n">
        <f aca="false">IFERROR(N64/N13,0)</f>
        <v>0</v>
      </c>
      <c r="O65" s="157" t="n">
        <f aca="false">IFERROR(O64/O13,0)</f>
        <v>0</v>
      </c>
      <c r="P65" s="158" t="n">
        <f aca="false">IFERROR(P64/P13,0)</f>
        <v>0</v>
      </c>
      <c r="Q65" s="153" t="n">
        <f aca="false">AVERAGE(E65:P65)</f>
        <v>0</v>
      </c>
    </row>
    <row r="66" customFormat="false" ht="22.5" hidden="false" customHeight="true" outlineLevel="0" collapsed="false">
      <c r="A66" s="154"/>
      <c r="B66" s="154"/>
      <c r="C66" s="155" t="s">
        <v>194</v>
      </c>
      <c r="D66" s="155"/>
      <c r="E66" s="148" t="n">
        <f aca="false">E14-E62-E50</f>
        <v>0</v>
      </c>
      <c r="F66" s="148" t="n">
        <f aca="false">F14-F62-F50</f>
        <v>0</v>
      </c>
      <c r="G66" s="148" t="n">
        <f aca="false">G14-G62-G50</f>
        <v>0</v>
      </c>
      <c r="H66" s="148" t="n">
        <f aca="false">H14-H62-H50</f>
        <v>0</v>
      </c>
      <c r="I66" s="148" t="n">
        <f aca="false">I14-I62-I50</f>
        <v>0</v>
      </c>
      <c r="J66" s="148" t="n">
        <f aca="false">J14-J62-J50</f>
        <v>0</v>
      </c>
      <c r="K66" s="148" t="n">
        <f aca="false">K14-K62-K50</f>
        <v>0</v>
      </c>
      <c r="L66" s="148" t="n">
        <f aca="false">L14-L62-L50</f>
        <v>0</v>
      </c>
      <c r="M66" s="148" t="n">
        <f aca="false">M14-M62-M50</f>
        <v>0</v>
      </c>
      <c r="N66" s="148" t="n">
        <f aca="false">N14-N62-N50</f>
        <v>0</v>
      </c>
      <c r="O66" s="148" t="n">
        <f aca="false">O14-O62-O50</f>
        <v>0</v>
      </c>
      <c r="P66" s="149" t="n">
        <f aca="false">P14-P62-P50</f>
        <v>0</v>
      </c>
      <c r="Q66" s="143" t="n">
        <f aca="false">SUM(E66:P66)</f>
        <v>0</v>
      </c>
    </row>
    <row r="67" customFormat="false" ht="22.5" hidden="false" customHeight="true" outlineLevel="0" collapsed="false">
      <c r="A67" s="154"/>
      <c r="B67" s="154"/>
      <c r="C67" s="147" t="s">
        <v>195</v>
      </c>
      <c r="D67" s="147"/>
      <c r="E67" s="148" t="n">
        <f aca="false">E62+E66</f>
        <v>0</v>
      </c>
      <c r="F67" s="148" t="n">
        <f aca="false">F62+F66</f>
        <v>0</v>
      </c>
      <c r="G67" s="148" t="n">
        <f aca="false">G62+G66</f>
        <v>0</v>
      </c>
      <c r="H67" s="148" t="n">
        <f aca="false">H62+H66</f>
        <v>0</v>
      </c>
      <c r="I67" s="148" t="n">
        <f aca="false">I62+I66</f>
        <v>0</v>
      </c>
      <c r="J67" s="148" t="n">
        <f aca="false">J62+J66</f>
        <v>0</v>
      </c>
      <c r="K67" s="148" t="n">
        <f aca="false">K62+K66</f>
        <v>0</v>
      </c>
      <c r="L67" s="148" t="n">
        <f aca="false">L62+L66</f>
        <v>0</v>
      </c>
      <c r="M67" s="148" t="n">
        <f aca="false">M62+M66</f>
        <v>0</v>
      </c>
      <c r="N67" s="148" t="n">
        <f aca="false">N62+N66</f>
        <v>0</v>
      </c>
      <c r="O67" s="148" t="n">
        <f aca="false">O62+O66</f>
        <v>0</v>
      </c>
      <c r="P67" s="149" t="n">
        <f aca="false">P62+P66</f>
        <v>0</v>
      </c>
      <c r="Q67" s="143" t="n">
        <f aca="false">SUM(E67:P67)</f>
        <v>0</v>
      </c>
    </row>
    <row r="68" customFormat="false" ht="22.5" hidden="false" customHeight="true" outlineLevel="0" collapsed="false">
      <c r="A68" s="154"/>
      <c r="B68" s="154"/>
      <c r="C68" s="155" t="s">
        <v>196</v>
      </c>
      <c r="D68" s="156" t="s">
        <v>193</v>
      </c>
      <c r="E68" s="157" t="n">
        <f aca="false">IFERROR(E67/E14,0)</f>
        <v>0</v>
      </c>
      <c r="F68" s="157" t="n">
        <f aca="false">IFERROR(F67/F14,0)</f>
        <v>0</v>
      </c>
      <c r="G68" s="157" t="n">
        <f aca="false">IFERROR(G67/G14,0)</f>
        <v>0</v>
      </c>
      <c r="H68" s="157" t="n">
        <f aca="false">IFERROR(H67/H14,0)</f>
        <v>0</v>
      </c>
      <c r="I68" s="157" t="n">
        <f aca="false">IFERROR(I67/I14,0)</f>
        <v>0</v>
      </c>
      <c r="J68" s="157" t="n">
        <f aca="false">IFERROR(J67/J14,0)</f>
        <v>0</v>
      </c>
      <c r="K68" s="157" t="n">
        <f aca="false">IFERROR(K67/K14,0)</f>
        <v>0</v>
      </c>
      <c r="L68" s="157" t="n">
        <f aca="false">IFERROR(L67/L14,0)</f>
        <v>0</v>
      </c>
      <c r="M68" s="157" t="n">
        <f aca="false">IFERROR(M67/M14,0)</f>
        <v>0</v>
      </c>
      <c r="N68" s="157" t="n">
        <f aca="false">IFERROR(N67/N14,0)</f>
        <v>0</v>
      </c>
      <c r="O68" s="157" t="n">
        <f aca="false">IFERROR(O67/O14,0)</f>
        <v>0</v>
      </c>
      <c r="P68" s="158" t="n">
        <f aca="false">IFERROR(P67/P14,0)</f>
        <v>0</v>
      </c>
      <c r="Q68" s="153" t="n">
        <f aca="false">AVERAGE(E68:P68)</f>
        <v>0</v>
      </c>
    </row>
    <row r="69" customFormat="false" ht="22.5" hidden="false" customHeight="true" outlineLevel="0" collapsed="false">
      <c r="A69" s="154"/>
      <c r="B69" s="154"/>
      <c r="C69" s="159" t="s">
        <v>197</v>
      </c>
      <c r="D69" s="159"/>
      <c r="E69" s="148" t="n">
        <f aca="false">E63+E66</f>
        <v>0</v>
      </c>
      <c r="F69" s="148" t="n">
        <f aca="false">F63+F66</f>
        <v>0</v>
      </c>
      <c r="G69" s="148" t="n">
        <f aca="false">G63+G66</f>
        <v>0</v>
      </c>
      <c r="H69" s="148" t="n">
        <f aca="false">H63+H66</f>
        <v>0</v>
      </c>
      <c r="I69" s="148" t="n">
        <f aca="false">I63+I66</f>
        <v>0</v>
      </c>
      <c r="J69" s="148" t="n">
        <f aca="false">J63+J66</f>
        <v>0</v>
      </c>
      <c r="K69" s="148" t="n">
        <f aca="false">K63+K66</f>
        <v>0</v>
      </c>
      <c r="L69" s="148" t="n">
        <f aca="false">L63+L66</f>
        <v>0</v>
      </c>
      <c r="M69" s="148" t="n">
        <f aca="false">M63+M66</f>
        <v>0</v>
      </c>
      <c r="N69" s="148" t="n">
        <f aca="false">N63+N66</f>
        <v>0</v>
      </c>
      <c r="O69" s="148" t="n">
        <f aca="false">O63+O66</f>
        <v>0</v>
      </c>
      <c r="P69" s="149" t="n">
        <f aca="false">P63+P66</f>
        <v>0</v>
      </c>
      <c r="Q69" s="160" t="n">
        <f aca="false">SUM(E69:P69)</f>
        <v>0</v>
      </c>
    </row>
    <row r="70" customFormat="false" ht="22.5" hidden="false" customHeight="true" outlineLevel="0" collapsed="false">
      <c r="A70" s="154"/>
      <c r="B70" s="154"/>
      <c r="C70" s="161" t="s">
        <v>198</v>
      </c>
      <c r="D70" s="161"/>
      <c r="E70" s="148" t="n">
        <f aca="false">E64+E67</f>
        <v>0</v>
      </c>
      <c r="F70" s="148" t="n">
        <f aca="false">F64+F67</f>
        <v>0</v>
      </c>
      <c r="G70" s="148" t="n">
        <f aca="false">G64+G67</f>
        <v>0</v>
      </c>
      <c r="H70" s="148" t="n">
        <f aca="false">H64+H67</f>
        <v>0</v>
      </c>
      <c r="I70" s="148" t="n">
        <f aca="false">I64+I67</f>
        <v>0</v>
      </c>
      <c r="J70" s="148" t="n">
        <f aca="false">J64+J67</f>
        <v>0</v>
      </c>
      <c r="K70" s="148" t="n">
        <f aca="false">K64+K67</f>
        <v>0</v>
      </c>
      <c r="L70" s="148" t="n">
        <f aca="false">L64+L67</f>
        <v>0</v>
      </c>
      <c r="M70" s="148" t="n">
        <f aca="false">M64+M67</f>
        <v>0</v>
      </c>
      <c r="N70" s="148" t="n">
        <f aca="false">N64+N67</f>
        <v>0</v>
      </c>
      <c r="O70" s="148" t="n">
        <f aca="false">O64+O67</f>
        <v>0</v>
      </c>
      <c r="P70" s="149" t="n">
        <f aca="false">P64+P67</f>
        <v>0</v>
      </c>
      <c r="Q70" s="160" t="n">
        <f aca="false">SUM(E70:P70)</f>
        <v>0</v>
      </c>
    </row>
    <row r="71" customFormat="false" ht="22.5" hidden="false" customHeight="true" outlineLevel="0" collapsed="false">
      <c r="A71" s="154"/>
      <c r="B71" s="154"/>
      <c r="C71" s="162" t="s">
        <v>199</v>
      </c>
      <c r="D71" s="163" t="s">
        <v>193</v>
      </c>
      <c r="E71" s="164" t="n">
        <f aca="false">IFERROR(E70/(E13+E14),0)</f>
        <v>0</v>
      </c>
      <c r="F71" s="164" t="n">
        <f aca="false">IFERROR(F70/(F13+F14),0)</f>
        <v>0</v>
      </c>
      <c r="G71" s="164" t="n">
        <f aca="false">IFERROR(G70/(G13+G14),0)</f>
        <v>0</v>
      </c>
      <c r="H71" s="164" t="n">
        <f aca="false">IFERROR(H70/(H13+H14),0)</f>
        <v>0</v>
      </c>
      <c r="I71" s="164" t="n">
        <f aca="false">IFERROR(I70/(I13+I14),0)</f>
        <v>0</v>
      </c>
      <c r="J71" s="164" t="n">
        <f aca="false">IFERROR(J70/(J13+J14),0)</f>
        <v>0</v>
      </c>
      <c r="K71" s="164" t="n">
        <f aca="false">IFERROR(K70/(K13+K14),0)</f>
        <v>0</v>
      </c>
      <c r="L71" s="164" t="n">
        <f aca="false">IFERROR(L70/(L13+L14),0)</f>
        <v>0</v>
      </c>
      <c r="M71" s="164" t="n">
        <f aca="false">IFERROR(M70/(M13+M14),0)</f>
        <v>0</v>
      </c>
      <c r="N71" s="164" t="n">
        <f aca="false">IFERROR(N70/(N13+N14),0)</f>
        <v>0</v>
      </c>
      <c r="O71" s="164" t="n">
        <f aca="false">IFERROR(O70/(O13+O14),0)</f>
        <v>0</v>
      </c>
      <c r="P71" s="165" t="n">
        <f aca="false">IFERROR(P70/(P13+P14),0)</f>
        <v>0</v>
      </c>
      <c r="Q71" s="166" t="n">
        <f aca="false">AVERAGE(E71:P71)</f>
        <v>0</v>
      </c>
    </row>
    <row r="72" customFormat="false" ht="22.5" hidden="false" customHeight="true" outlineLevel="0" collapsed="false"/>
    <row r="73" customFormat="false" ht="22.5" hidden="false" customHeight="true" outlineLevel="0" collapsed="false">
      <c r="C73" s="167" t="s">
        <v>200</v>
      </c>
      <c r="E73" s="164" t="n">
        <f aca="false">27年1月!AC19</f>
        <v>0</v>
      </c>
      <c r="F73" s="164" t="n">
        <f aca="false">27年2月!AC19</f>
        <v>0</v>
      </c>
      <c r="G73" s="164" t="n">
        <f aca="false">27年3月!AC19</f>
        <v>0</v>
      </c>
      <c r="H73" s="164" t="n">
        <f aca="false">27年4月!AC19</f>
        <v>0</v>
      </c>
      <c r="I73" s="164" t="n">
        <f aca="false">27年5月!AC19</f>
        <v>0</v>
      </c>
      <c r="J73" s="164" t="n">
        <f aca="false">27年6月!AC19</f>
        <v>0</v>
      </c>
      <c r="K73" s="164" t="n">
        <f aca="false">27年7月!AC19</f>
        <v>0</v>
      </c>
      <c r="L73" s="164" t="n">
        <f aca="false">27年8月!AC19</f>
        <v>0</v>
      </c>
      <c r="M73" s="164" t="n">
        <f aca="false">27年9月!AC19</f>
        <v>0</v>
      </c>
      <c r="N73" s="164" t="n">
        <f aca="false">27年10月!AC19</f>
        <v>0</v>
      </c>
      <c r="O73" s="164" t="n">
        <f aca="false">27年11月!AC19</f>
        <v>0</v>
      </c>
      <c r="P73" s="165" t="n">
        <f aca="false">27年12月!AC19</f>
        <v>0</v>
      </c>
      <c r="Q73" s="166" t="n">
        <f aca="false">SUM(E73:P73)</f>
        <v>0</v>
      </c>
    </row>
    <row r="74" customFormat="false" ht="22.5" hidden="false" customHeight="true" outlineLevel="0" collapsed="false">
      <c r="C74" s="167" t="s">
        <v>201</v>
      </c>
      <c r="E74" s="164" t="n">
        <f aca="false">27年1月!AE19</f>
        <v>0</v>
      </c>
      <c r="F74" s="164" t="n">
        <f aca="false">27年2月!AE19</f>
        <v>0</v>
      </c>
      <c r="G74" s="164" t="n">
        <f aca="false">27年3月!AE19</f>
        <v>0</v>
      </c>
      <c r="H74" s="164" t="n">
        <f aca="false">27年4月!AE19</f>
        <v>0</v>
      </c>
      <c r="I74" s="164" t="n">
        <f aca="false">27年5月!AE19</f>
        <v>0</v>
      </c>
      <c r="J74" s="164" t="n">
        <f aca="false">27年6月!AE19</f>
        <v>0</v>
      </c>
      <c r="K74" s="164" t="n">
        <f aca="false">27年7月!AE19</f>
        <v>0</v>
      </c>
      <c r="L74" s="164" t="n">
        <f aca="false">27年8月!AE19</f>
        <v>0</v>
      </c>
      <c r="M74" s="164" t="n">
        <f aca="false">27年9月!AE19</f>
        <v>0</v>
      </c>
      <c r="N74" s="164" t="n">
        <f aca="false">27年10月!AE19</f>
        <v>0</v>
      </c>
      <c r="O74" s="164" t="n">
        <f aca="false">27年11月!AE19</f>
        <v>0</v>
      </c>
      <c r="P74" s="165" t="n">
        <f aca="false">27年12月!AE19</f>
        <v>0</v>
      </c>
      <c r="Q74" s="166" t="n">
        <f aca="false">SUM(E74:P74)</f>
        <v>0</v>
      </c>
    </row>
    <row r="75" customFormat="false" ht="22.5" hidden="false" customHeight="true" outlineLevel="0" collapsed="false">
      <c r="C75" s="162" t="s">
        <v>202</v>
      </c>
      <c r="E75" s="164" t="n">
        <f aca="false">E73+E74</f>
        <v>0</v>
      </c>
      <c r="F75" s="164" t="n">
        <f aca="false">F73+F74</f>
        <v>0</v>
      </c>
      <c r="G75" s="164" t="n">
        <f aca="false">G73+G74</f>
        <v>0</v>
      </c>
      <c r="H75" s="164" t="n">
        <f aca="false">H73+H74</f>
        <v>0</v>
      </c>
      <c r="I75" s="164" t="n">
        <f aca="false">I73+I74</f>
        <v>0</v>
      </c>
      <c r="J75" s="164" t="n">
        <f aca="false">J73+J74</f>
        <v>0</v>
      </c>
      <c r="K75" s="164" t="n">
        <f aca="false">K73+K74</f>
        <v>0</v>
      </c>
      <c r="L75" s="164" t="n">
        <f aca="false">L73+L74</f>
        <v>0</v>
      </c>
      <c r="M75" s="164" t="n">
        <f aca="false">M73+M74</f>
        <v>0</v>
      </c>
      <c r="N75" s="164" t="n">
        <f aca="false">N73+N74</f>
        <v>0</v>
      </c>
      <c r="O75" s="164" t="n">
        <f aca="false">O73+O74</f>
        <v>0</v>
      </c>
      <c r="P75" s="165" t="n">
        <f aca="false">P73+P74</f>
        <v>0</v>
      </c>
      <c r="Q75" s="166" t="n">
        <f aca="false">SUM(E75:P75)</f>
        <v>0</v>
      </c>
    </row>
    <row r="76" customFormat="false" ht="22.5" hidden="false" customHeight="true" outlineLevel="0" collapsed="false"/>
    <row r="77" customFormat="false" ht="22.5" hidden="false" customHeight="true" outlineLevel="0" collapsed="false"/>
    <row r="78" customFormat="false" ht="22.5" hidden="false" customHeight="true" outlineLevel="0" collapsed="false"/>
    <row r="79" customFormat="false" ht="22.5" hidden="false" customHeight="true" outlineLevel="0" collapsed="false"/>
    <row r="80" customFormat="false" ht="22.5" hidden="false" customHeight="true" outlineLevel="0" collapsed="false"/>
    <row r="81" customFormat="false" ht="22.5" hidden="false" customHeight="true" outlineLevel="0" collapsed="false"/>
    <row r="82" customFormat="false" ht="22.5" hidden="false" customHeight="true" outlineLevel="0" collapsed="false"/>
    <row r="83" customFormat="false" ht="22.5" hidden="false" customHeight="true" outlineLevel="0" collapsed="false"/>
    <row r="84" customFormat="false" ht="22.5" hidden="false" customHeight="true" outlineLevel="0" collapsed="false"/>
    <row r="85" customFormat="false" ht="22.5" hidden="false" customHeight="true" outlineLevel="0" collapsed="false"/>
    <row r="86" customFormat="false" ht="22.5" hidden="false" customHeight="true" outlineLevel="0" collapsed="false"/>
    <row r="87" customFormat="false" ht="22.5" hidden="false" customHeight="true" outlineLevel="0" collapsed="false"/>
  </sheetData>
  <mergeCells count="22">
    <mergeCell ref="A1:C1"/>
    <mergeCell ref="D1:G1"/>
    <mergeCell ref="A3:B14"/>
    <mergeCell ref="C13:D13"/>
    <mergeCell ref="C14:D14"/>
    <mergeCell ref="A15:A52"/>
    <mergeCell ref="B15:B30"/>
    <mergeCell ref="C29:D29"/>
    <mergeCell ref="C30:D30"/>
    <mergeCell ref="B31:B48"/>
    <mergeCell ref="C47:D47"/>
    <mergeCell ref="C48:D48"/>
    <mergeCell ref="B49:D49"/>
    <mergeCell ref="B50:D50"/>
    <mergeCell ref="B51:C51"/>
    <mergeCell ref="B52:C52"/>
    <mergeCell ref="A53:B62"/>
    <mergeCell ref="C61:D61"/>
    <mergeCell ref="C62:D62"/>
    <mergeCell ref="A63:B71"/>
    <mergeCell ref="C67:D67"/>
    <mergeCell ref="C70:D70"/>
  </mergeCells>
  <dataValidations count="3">
    <dataValidation allowBlank="true" errorStyle="stop" operator="between" showDropDown="false" showErrorMessage="true" showInputMessage="true" sqref="C3:C12" type="list">
      <formula1>"💰たいよう給与,💰たいよう賞与,💰たいよう配当金,💰たいよう臨時収入,💰たいようその他,💰みらの給与,💰みらの賞与,💰みらの配当金,💰みらの臨時収入,💰みらのその他"</formula1>
      <formula2>0</formula2>
    </dataValidation>
    <dataValidation allowBlank="true" errorStyle="stop" operator="between" showDropDown="false" showErrorMessage="true" showInputMessage="true" sqref="C31:C46" type="list">
      <formula1>"🍙たいよう食費,🧴たいよう日用品,📋たいよう雑費,⛺たいよう趣味・娯楽,🍷たいよう交際費,👔たいよう衣服・美容,🏥たいよう健康・医療,🚃たいよう交通費,🍙みらの食費,🧴みらの日用品,📋みらの雑費,⛺みらの趣味・娯楽,🍷みらの交際費,👔みらの衣服・美容,🏥みらの健康・医療,🚃みらの交通費"</formula1>
      <formula2>0</formula2>
    </dataValidation>
    <dataValidation allowBlank="true" errorStyle="stop" operator="between" showDropDown="false" showErrorMessage="true" showInputMessage="true" sqref="C53:C60" type="list">
      <formula1>"💵たいよう貯金,💵たいよう特別費積立,,💵たいようNISA,💵たいよう投資,💵たいようiDeCo,💵みらの貯金,💵みらの特別費積立,,💵みらのNISA,💵みらの投資,💵みらのiDeCo"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F159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22.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1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1</v>
      </c>
      <c r="P3" s="172" t="s">
        <v>204</v>
      </c>
      <c r="Q3" s="173" t="n">
        <f aca="false">DATE(M3,O3,1)</f>
        <v>46388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  <c r="AF4" s="100"/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  <c r="AF5" s="100"/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46383</v>
      </c>
      <c r="M6" s="186" t="n">
        <f aca="false">L6+1</f>
        <v>46384</v>
      </c>
      <c r="N6" s="186" t="n">
        <f aca="false">M6+1</f>
        <v>46385</v>
      </c>
      <c r="O6" s="186" t="n">
        <f aca="false">N6+1</f>
        <v>46386</v>
      </c>
      <c r="P6" s="186" t="n">
        <f aca="false">O6+1</f>
        <v>46387</v>
      </c>
      <c r="Q6" s="186" t="n">
        <f aca="false">P6+1</f>
        <v>46388</v>
      </c>
      <c r="R6" s="187" t="n">
        <f aca="false">Q6+1</f>
        <v>46389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  <c r="AF6" s="100"/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46390</v>
      </c>
      <c r="M7" s="186" t="n">
        <f aca="false">L7+1</f>
        <v>46391</v>
      </c>
      <c r="N7" s="186" t="n">
        <f aca="false">M7+1</f>
        <v>46392</v>
      </c>
      <c r="O7" s="186" t="n">
        <f aca="false">N7+1</f>
        <v>46393</v>
      </c>
      <c r="P7" s="186" t="n">
        <f aca="false">O7+1</f>
        <v>46394</v>
      </c>
      <c r="Q7" s="186" t="n">
        <f aca="false">P7+1</f>
        <v>46395</v>
      </c>
      <c r="R7" s="187" t="n">
        <f aca="false">Q7+1</f>
        <v>46396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  <c r="AF7" s="100"/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46397</v>
      </c>
      <c r="M8" s="186" t="n">
        <f aca="false">L8+1</f>
        <v>46398</v>
      </c>
      <c r="N8" s="186" t="n">
        <f aca="false">M8+1</f>
        <v>46399</v>
      </c>
      <c r="O8" s="186" t="n">
        <f aca="false">N8+1</f>
        <v>46400</v>
      </c>
      <c r="P8" s="186" t="n">
        <f aca="false">O8+1</f>
        <v>46401</v>
      </c>
      <c r="Q8" s="186" t="n">
        <f aca="false">P8+1</f>
        <v>46402</v>
      </c>
      <c r="R8" s="187" t="n">
        <f aca="false">Q8+1</f>
        <v>46403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  <c r="AF8" s="100"/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46404</v>
      </c>
      <c r="M9" s="186" t="n">
        <f aca="false">L9+1</f>
        <v>46405</v>
      </c>
      <c r="N9" s="186" t="n">
        <f aca="false">M9+1</f>
        <v>46406</v>
      </c>
      <c r="O9" s="186" t="n">
        <f aca="false">N9+1</f>
        <v>46407</v>
      </c>
      <c r="P9" s="186" t="n">
        <f aca="false">O9+1</f>
        <v>46408</v>
      </c>
      <c r="Q9" s="186" t="n">
        <f aca="false">P9+1</f>
        <v>46409</v>
      </c>
      <c r="R9" s="187" t="n">
        <f aca="false">Q9+1</f>
        <v>46410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  <c r="AF9" s="100"/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46411</v>
      </c>
      <c r="M10" s="186" t="n">
        <f aca="false">L10+1</f>
        <v>46412</v>
      </c>
      <c r="N10" s="186" t="n">
        <f aca="false">M10+1</f>
        <v>46413</v>
      </c>
      <c r="O10" s="186" t="n">
        <f aca="false">N10+1</f>
        <v>46414</v>
      </c>
      <c r="P10" s="186" t="n">
        <f aca="false">O10+1</f>
        <v>46415</v>
      </c>
      <c r="Q10" s="186" t="n">
        <f aca="false">P10+1</f>
        <v>46416</v>
      </c>
      <c r="R10" s="187" t="n">
        <f aca="false">Q10+1</f>
        <v>46417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  <c r="AF10" s="100"/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46418</v>
      </c>
      <c r="M11" s="199" t="n">
        <f aca="false">L11+1</f>
        <v>46419</v>
      </c>
      <c r="N11" s="199" t="n">
        <f aca="false">M11+1</f>
        <v>46420</v>
      </c>
      <c r="O11" s="199" t="n">
        <f aca="false">N11+1</f>
        <v>46421</v>
      </c>
      <c r="P11" s="199" t="n">
        <f aca="false">O11+1</f>
        <v>46422</v>
      </c>
      <c r="Q11" s="199" t="n">
        <f aca="false">P11+1</f>
        <v>46423</v>
      </c>
      <c r="R11" s="200" t="n">
        <f aca="false">Q11+1</f>
        <v>46424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  <c r="AF11" s="100"/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  <c r="AF12" s="100"/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  <c r="AF13" s="100"/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  <c r="AF14" s="100"/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  <c r="AF15" s="100"/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  <c r="AF16" s="100"/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SUMIFS(X6:X159, U6:U159, "1week", W6:W159, "🍙食費")</f>
        <v>0</v>
      </c>
      <c r="O17" s="212" t="n">
        <f aca="false">M17-N17</f>
        <v>0</v>
      </c>
      <c r="P17" s="191"/>
      <c r="Q17" s="212" t="n">
        <f aca="false">SUMIFS(X6:X159, U6:U159, "2week", W6:W159,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  <c r="AF17" s="100"/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SUMIFS(X6:X159, U6:U159, "1week", W6:W159, "🧴日用品")</f>
        <v>0</v>
      </c>
      <c r="O18" s="216" t="n">
        <f aca="false">M18-N18</f>
        <v>0</v>
      </c>
      <c r="P18" s="195"/>
      <c r="Q18" s="216" t="n">
        <f aca="false">SUMIFS(X6:X159, U6:U159, "2week", W6:W159,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  <c r="AF18" s="100"/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SUMIFS(X6:X159, U6:U159, "1week", W6:W159, "📋雑費")</f>
        <v>0</v>
      </c>
      <c r="O19" s="216" t="n">
        <f aca="false">M19-N19</f>
        <v>0</v>
      </c>
      <c r="P19" s="195"/>
      <c r="Q19" s="216" t="n">
        <f aca="false">SUMIFS(X6:X159, U6:U159, "2week", W6:W159,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  <c r="AF19" s="100"/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SUMIFS(X6:X159, U6:U159, "1week", W6:W159, "⛺趣味・娯楽")</f>
        <v>0</v>
      </c>
      <c r="O20" s="216" t="n">
        <f aca="false">M20-N20</f>
        <v>0</v>
      </c>
      <c r="P20" s="195"/>
      <c r="Q20" s="216" t="n">
        <f aca="false">SUMIFS(X6:X159, U6:U159, "2week", W6:W159,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  <c r="AB20" s="100"/>
      <c r="AC20" s="100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SUMIFS(X6:X159, U6:U159, "1week", W6:W159, "🍷交際費")</f>
        <v>0</v>
      </c>
      <c r="O21" s="216" t="n">
        <f aca="false">M21-N21</f>
        <v>0</v>
      </c>
      <c r="P21" s="195"/>
      <c r="Q21" s="216" t="n">
        <f aca="false">SUMIFS(X6:X159, U6:U159, "2week", W6:W159,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SUMIFS(X6:X159, U6:U159, "1week", W6:W159, "👔衣服・美容")</f>
        <v>0</v>
      </c>
      <c r="O22" s="216" t="n">
        <f aca="false">M22-N22</f>
        <v>0</v>
      </c>
      <c r="P22" s="195"/>
      <c r="Q22" s="216" t="n">
        <f aca="false">SUMIFS(X6:X159, U6:U159, "2week", W6:W159,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SUMIFS(X6:X159, U6:U159, "1week", W6:W159, "🏥健康・医療")</f>
        <v>0</v>
      </c>
      <c r="O23" s="216" t="n">
        <f aca="false">M23-N23</f>
        <v>0</v>
      </c>
      <c r="P23" s="195"/>
      <c r="Q23" s="216" t="n">
        <f aca="false">SUMIFS(X6:X159, U6:U159, "2week", W6:W159,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SUMIFS(X6:X159, U6:U159, "1week", W6:W159, "🚃交通費")</f>
        <v>0</v>
      </c>
      <c r="O24" s="216" t="n">
        <f aca="false">M24-N24</f>
        <v>0</v>
      </c>
      <c r="P24" s="195"/>
      <c r="Q24" s="216" t="n">
        <f aca="false">SUMIFS(X6:X159, U6:U159, "2week", W6:W159,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SUMIFS(X6:X159, U6:U159, "3week", W6:W159, "🍙食費")</f>
        <v>0</v>
      </c>
      <c r="O29" s="212" t="n">
        <f aca="false">M29-N29</f>
        <v>0</v>
      </c>
      <c r="P29" s="191"/>
      <c r="Q29" s="212" t="n">
        <f aca="false">SUMIFS(X6:X159, U6:U159, "4week", W6:W159,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SUMIFS(X6:X159, U6:U159, "3week", W6:W159, "🧴日用品")</f>
        <v>0</v>
      </c>
      <c r="O30" s="212" t="n">
        <f aca="false">M30-N30</f>
        <v>0</v>
      </c>
      <c r="P30" s="195"/>
      <c r="Q30" s="216" t="n">
        <f aca="false">SUMIFS(X6:X159, U6:U159, "4week", W6:W159,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SUMIFS(X6:X159, U6:U159, "3week", W6:W159, "📋雑費")</f>
        <v>0</v>
      </c>
      <c r="O31" s="212" t="n">
        <f aca="false">M31-N31</f>
        <v>0</v>
      </c>
      <c r="P31" s="195"/>
      <c r="Q31" s="216" t="n">
        <f aca="false">SUMIFS(X6:X159, U6:U159, "4week", W6:W159,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SUMIFS(X6:X159, U6:U159, "3week", W6:W159, "⛺趣味・娯楽")</f>
        <v>0</v>
      </c>
      <c r="O32" s="212" t="n">
        <f aca="false">M32-N32</f>
        <v>0</v>
      </c>
      <c r="P32" s="195"/>
      <c r="Q32" s="216" t="n">
        <f aca="false">SUMIFS(X6:X159, U6:U159, "4week", W6:W159,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SUMIFS(X6:X159, U6:U159, "3week", W6:W159, "🍷交際費")</f>
        <v>0</v>
      </c>
      <c r="O33" s="212" t="n">
        <f aca="false">M33-N33</f>
        <v>0</v>
      </c>
      <c r="P33" s="195"/>
      <c r="Q33" s="216" t="n">
        <f aca="false">SUMIFS(X6:X159, U6:U159, "4week", W6:W159,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SUMIFS(X6:X159, U6:U159, "3week", W6:W159, "👔衣服・美容")</f>
        <v>0</v>
      </c>
      <c r="O34" s="212" t="n">
        <f aca="false">M34-N34</f>
        <v>0</v>
      </c>
      <c r="P34" s="195"/>
      <c r="Q34" s="216" t="n">
        <f aca="false">SUMIFS(X6:X159, U6:U159, "4week", W6:W159,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SUMIFS(X6:X159, U6:U159, "3week", W6:W159, "🏥健康・医療")</f>
        <v>0</v>
      </c>
      <c r="O35" s="212" t="n">
        <f aca="false">M35-N35</f>
        <v>0</v>
      </c>
      <c r="P35" s="195"/>
      <c r="Q35" s="216" t="n">
        <f aca="false">SUMIFS(X6:X159, U6:U159, "4week", W6:W159,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SUMIFS(X6:X159, U6:U159, "3week", W6:W159, "🚃交通費")</f>
        <v>0</v>
      </c>
      <c r="O36" s="212" t="n">
        <f aca="false">M36-N36</f>
        <v>0</v>
      </c>
      <c r="P36" s="195"/>
      <c r="Q36" s="216" t="n">
        <f aca="false">SUMIFS(X6:X159, U6:U159, "4week", W6:W159,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D38" s="206"/>
      <c r="E38" s="206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SUMIFS(X6:X159, U6:U159, "5week", W6:W159,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SUMIFS(X6:X159, U6:U159, "5week", W6:W159,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SUMIFS(X6:X159, V6:V159, "たいよう") + SUMIFS(X6:X159, V6:V159, "両方") / 2</f>
        <v>0</v>
      </c>
      <c r="G43" s="114" t="s">
        <v>114</v>
      </c>
      <c r="H43" s="114"/>
      <c r="I43" s="114"/>
      <c r="J43" s="115" t="n">
        <f aca="false">SUMIFS(X6:X159, V6:V159, "みらの") + SUMIFS(X6:X159, V6:V159, "両方") / 2</f>
        <v>0</v>
      </c>
      <c r="L43" s="214" t="s">
        <v>38</v>
      </c>
      <c r="M43" s="195"/>
      <c r="N43" s="216" t="n">
        <f aca="false">SUMIFS(X6:X159, U6:U159, "5week", W6:W159,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SUMIFS(X6:X159, U6:U159, "5week", W6:W159,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SUMIFS(X6:X159, U6:U159, "5week", W6:W159,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SUMIFS(X6:X159, U6:U159, "5week", W6:W159,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SUMIFS(X6:X159, U6:U159, "5week", W6:W159,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SUMIFS(X6:X159, U6:U159, "5week", W6:W159,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F51" s="53"/>
      <c r="G51" s="53"/>
      <c r="H51" s="53"/>
      <c r="I51" s="53"/>
      <c r="J51" s="53"/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F52" s="233"/>
      <c r="G52" s="233"/>
      <c r="H52" s="233"/>
      <c r="I52" s="233"/>
      <c r="J52" s="233"/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F53" s="233"/>
      <c r="G53" s="233"/>
      <c r="H53" s="233"/>
      <c r="I53" s="233"/>
      <c r="J53" s="233"/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193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14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B81" s="100"/>
      <c r="C81" s="100"/>
      <c r="D81" s="100"/>
      <c r="E81" s="100"/>
      <c r="F81" s="100"/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F82" s="100"/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F83" s="100"/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F84" s="100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F85" s="100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B86" s="100"/>
      <c r="C86" s="100"/>
      <c r="D86" s="100"/>
      <c r="E86" s="100"/>
      <c r="F86" s="100"/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B87" s="100"/>
      <c r="C87" s="100"/>
      <c r="D87" s="100"/>
      <c r="E87" s="100"/>
      <c r="F87" s="100"/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B88" s="100"/>
      <c r="C88" s="100"/>
      <c r="D88" s="100"/>
      <c r="E88" s="100"/>
      <c r="F88" s="100"/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B89" s="100"/>
      <c r="C89" s="100"/>
      <c r="D89" s="100"/>
      <c r="E89" s="100"/>
      <c r="F89" s="100"/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B90" s="100"/>
      <c r="C90" s="100"/>
      <c r="D90" s="100"/>
      <c r="E90" s="100"/>
      <c r="F90" s="100"/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B91" s="100"/>
      <c r="C91" s="100"/>
      <c r="D91" s="100"/>
      <c r="E91" s="100"/>
      <c r="F91" s="100"/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B92" s="100"/>
      <c r="C92" s="100"/>
      <c r="D92" s="100"/>
      <c r="E92" s="100"/>
      <c r="F92" s="100"/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09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14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37"/>
      <c r="U159" s="238"/>
      <c r="V159" s="238"/>
      <c r="W159" s="238"/>
      <c r="X159" s="239"/>
      <c r="Y159" s="240"/>
    </row>
  </sheetData>
  <autoFilter ref="U5:W159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3"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U6:U159" type="list">
      <formula1>"1week,2week,3week,4week,5week"</formula1>
      <formula2>0</formula2>
    </dataValidation>
    <dataValidation allowBlank="true" errorStyle="stop" operator="between" showDropDown="false" showErrorMessage="true" showInputMessage="true" sqref="V6:V159" type="list">
      <formula1>"たいよう,みらの,両方"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F160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22.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2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2</v>
      </c>
      <c r="P3" s="172" t="s">
        <v>204</v>
      </c>
      <c r="Q3" s="173" t="n">
        <f aca="false">DATE(M3,O3,1)</f>
        <v>46419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  <c r="AF5" s="241"/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46418</v>
      </c>
      <c r="M6" s="186" t="n">
        <f aca="false">L6+1</f>
        <v>46419</v>
      </c>
      <c r="N6" s="186" t="n">
        <f aca="false">M6+1</f>
        <v>46420</v>
      </c>
      <c r="O6" s="186" t="n">
        <f aca="false">N6+1</f>
        <v>46421</v>
      </c>
      <c r="P6" s="186" t="n">
        <f aca="false">O6+1</f>
        <v>46422</v>
      </c>
      <c r="Q6" s="186" t="n">
        <f aca="false">P6+1</f>
        <v>46423</v>
      </c>
      <c r="R6" s="187" t="n">
        <f aca="false">Q6+1</f>
        <v>46424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  <c r="AF6" s="241"/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46425</v>
      </c>
      <c r="M7" s="186" t="n">
        <f aca="false">L7+1</f>
        <v>46426</v>
      </c>
      <c r="N7" s="186" t="n">
        <f aca="false">M7+1</f>
        <v>46427</v>
      </c>
      <c r="O7" s="186" t="n">
        <f aca="false">N7+1</f>
        <v>46428</v>
      </c>
      <c r="P7" s="186" t="n">
        <f aca="false">O7+1</f>
        <v>46429</v>
      </c>
      <c r="Q7" s="186" t="n">
        <f aca="false">P7+1</f>
        <v>46430</v>
      </c>
      <c r="R7" s="187" t="n">
        <f aca="false">Q7+1</f>
        <v>46431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  <c r="AF7" s="241"/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46432</v>
      </c>
      <c r="M8" s="186" t="n">
        <f aca="false">L8+1</f>
        <v>46433</v>
      </c>
      <c r="N8" s="186" t="n">
        <f aca="false">M8+1</f>
        <v>46434</v>
      </c>
      <c r="O8" s="186" t="n">
        <f aca="false">N8+1</f>
        <v>46435</v>
      </c>
      <c r="P8" s="186" t="n">
        <f aca="false">O8+1</f>
        <v>46436</v>
      </c>
      <c r="Q8" s="186" t="n">
        <f aca="false">P8+1</f>
        <v>46437</v>
      </c>
      <c r="R8" s="187" t="n">
        <f aca="false">Q8+1</f>
        <v>46438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  <c r="AF8" s="241"/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46439</v>
      </c>
      <c r="M9" s="186" t="n">
        <f aca="false">L9+1</f>
        <v>46440</v>
      </c>
      <c r="N9" s="186" t="n">
        <f aca="false">M9+1</f>
        <v>46441</v>
      </c>
      <c r="O9" s="186" t="n">
        <f aca="false">N9+1</f>
        <v>46442</v>
      </c>
      <c r="P9" s="186" t="n">
        <f aca="false">O9+1</f>
        <v>46443</v>
      </c>
      <c r="Q9" s="186" t="n">
        <f aca="false">P9+1</f>
        <v>46444</v>
      </c>
      <c r="R9" s="187" t="n">
        <f aca="false">Q9+1</f>
        <v>46445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  <c r="AF9" s="241"/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46446</v>
      </c>
      <c r="M10" s="186" t="n">
        <f aca="false">L10+1</f>
        <v>46447</v>
      </c>
      <c r="N10" s="186" t="n">
        <f aca="false">M10+1</f>
        <v>46448</v>
      </c>
      <c r="O10" s="186" t="n">
        <f aca="false">N10+1</f>
        <v>46449</v>
      </c>
      <c r="P10" s="186" t="n">
        <f aca="false">O10+1</f>
        <v>46450</v>
      </c>
      <c r="Q10" s="186" t="n">
        <f aca="false">P10+1</f>
        <v>46451</v>
      </c>
      <c r="R10" s="187" t="n">
        <f aca="false">Q10+1</f>
        <v>46452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  <c r="AF10" s="241"/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46453</v>
      </c>
      <c r="M11" s="199" t="n">
        <f aca="false">L11+1</f>
        <v>46454</v>
      </c>
      <c r="N11" s="199" t="n">
        <f aca="false">M11+1</f>
        <v>46455</v>
      </c>
      <c r="O11" s="199" t="n">
        <f aca="false">N11+1</f>
        <v>46456</v>
      </c>
      <c r="P11" s="199" t="n">
        <f aca="false">O11+1</f>
        <v>46457</v>
      </c>
      <c r="Q11" s="199" t="n">
        <f aca="false">P11+1</f>
        <v>46458</v>
      </c>
      <c r="R11" s="200" t="n">
        <f aca="false">Q11+1</f>
        <v>46459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  <c r="AF11" s="241"/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  <c r="AF12" s="241"/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  <c r="AF13" s="241"/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  <c r="AF14" s="241"/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  <c r="AF15" s="241"/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  <c r="AF16" s="241"/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  <c r="AF17" s="241"/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  <c r="AF18" s="241"/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B38" s="175"/>
      <c r="C38" s="53"/>
      <c r="D38" s="53"/>
      <c r="E38" s="53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</sheetData>
  <autoFilter ref="U5:W164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4"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F160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22.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3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3</v>
      </c>
      <c r="P3" s="172" t="s">
        <v>204</v>
      </c>
      <c r="Q3" s="173" t="n">
        <f aca="false">DATE(M3,O3,1)</f>
        <v>46447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  <c r="AF5" s="241"/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46446</v>
      </c>
      <c r="M6" s="186" t="n">
        <f aca="false">L6+1</f>
        <v>46447</v>
      </c>
      <c r="N6" s="186" t="n">
        <f aca="false">M6+1</f>
        <v>46448</v>
      </c>
      <c r="O6" s="186" t="n">
        <f aca="false">N6+1</f>
        <v>46449</v>
      </c>
      <c r="P6" s="186" t="n">
        <f aca="false">O6+1</f>
        <v>46450</v>
      </c>
      <c r="Q6" s="186" t="n">
        <f aca="false">P6+1</f>
        <v>46451</v>
      </c>
      <c r="R6" s="187" t="n">
        <f aca="false">Q6+1</f>
        <v>46452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  <c r="AF6" s="241"/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46453</v>
      </c>
      <c r="M7" s="186" t="n">
        <f aca="false">L7+1</f>
        <v>46454</v>
      </c>
      <c r="N7" s="186" t="n">
        <f aca="false">M7+1</f>
        <v>46455</v>
      </c>
      <c r="O7" s="186" t="n">
        <f aca="false">N7+1</f>
        <v>46456</v>
      </c>
      <c r="P7" s="186" t="n">
        <f aca="false">O7+1</f>
        <v>46457</v>
      </c>
      <c r="Q7" s="186" t="n">
        <f aca="false">P7+1</f>
        <v>46458</v>
      </c>
      <c r="R7" s="187" t="n">
        <f aca="false">Q7+1</f>
        <v>46459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  <c r="AF7" s="241"/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46460</v>
      </c>
      <c r="M8" s="186" t="n">
        <f aca="false">L8+1</f>
        <v>46461</v>
      </c>
      <c r="N8" s="186" t="n">
        <f aca="false">M8+1</f>
        <v>46462</v>
      </c>
      <c r="O8" s="186" t="n">
        <f aca="false">N8+1</f>
        <v>46463</v>
      </c>
      <c r="P8" s="186" t="n">
        <f aca="false">O8+1</f>
        <v>46464</v>
      </c>
      <c r="Q8" s="186" t="n">
        <f aca="false">P8+1</f>
        <v>46465</v>
      </c>
      <c r="R8" s="187" t="n">
        <f aca="false">Q8+1</f>
        <v>46466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  <c r="AF8" s="241"/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46467</v>
      </c>
      <c r="M9" s="186" t="n">
        <f aca="false">L9+1</f>
        <v>46468</v>
      </c>
      <c r="N9" s="186" t="n">
        <f aca="false">M9+1</f>
        <v>46469</v>
      </c>
      <c r="O9" s="186" t="n">
        <f aca="false">N9+1</f>
        <v>46470</v>
      </c>
      <c r="P9" s="186" t="n">
        <f aca="false">O9+1</f>
        <v>46471</v>
      </c>
      <c r="Q9" s="186" t="n">
        <f aca="false">P9+1</f>
        <v>46472</v>
      </c>
      <c r="R9" s="187" t="n">
        <f aca="false">Q9+1</f>
        <v>46473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  <c r="AF9" s="241"/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46474</v>
      </c>
      <c r="M10" s="186" t="n">
        <f aca="false">L10+1</f>
        <v>46475</v>
      </c>
      <c r="N10" s="186" t="n">
        <f aca="false">M10+1</f>
        <v>46476</v>
      </c>
      <c r="O10" s="186" t="n">
        <f aca="false">N10+1</f>
        <v>46477</v>
      </c>
      <c r="P10" s="186" t="n">
        <f aca="false">O10+1</f>
        <v>46478</v>
      </c>
      <c r="Q10" s="186" t="n">
        <f aca="false">P10+1</f>
        <v>46479</v>
      </c>
      <c r="R10" s="187" t="n">
        <f aca="false">Q10+1</f>
        <v>46480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  <c r="AF10" s="241"/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46481</v>
      </c>
      <c r="M11" s="199" t="n">
        <f aca="false">L11+1</f>
        <v>46482</v>
      </c>
      <c r="N11" s="199" t="n">
        <f aca="false">M11+1</f>
        <v>46483</v>
      </c>
      <c r="O11" s="199" t="n">
        <f aca="false">N11+1</f>
        <v>46484</v>
      </c>
      <c r="P11" s="199" t="n">
        <f aca="false">O11+1</f>
        <v>46485</v>
      </c>
      <c r="Q11" s="199" t="n">
        <f aca="false">P11+1</f>
        <v>46486</v>
      </c>
      <c r="R11" s="200" t="n">
        <f aca="false">Q11+1</f>
        <v>46487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  <c r="AF11" s="241"/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  <c r="AF12" s="241"/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  <c r="AF13" s="241"/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  <c r="AF14" s="241"/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  <c r="AF15" s="241"/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  <c r="AF16" s="241"/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B38" s="175"/>
      <c r="C38" s="53"/>
      <c r="D38" s="53"/>
      <c r="E38" s="53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</sheetData>
  <autoFilter ref="U5:W181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4"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L160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22.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4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4</v>
      </c>
      <c r="P3" s="172" t="s">
        <v>204</v>
      </c>
      <c r="Q3" s="173" t="n">
        <f aca="false">DATE(M3,O3,1)</f>
        <v>46478</v>
      </c>
      <c r="T3" s="174" t="s">
        <v>205</v>
      </c>
      <c r="U3" s="174"/>
      <c r="V3" s="174"/>
      <c r="W3" s="174"/>
      <c r="X3" s="174"/>
      <c r="Y3" s="174"/>
      <c r="Z3" s="175"/>
      <c r="AB3" s="242"/>
      <c r="AC3" s="242"/>
      <c r="AD3" s="242"/>
      <c r="AE3" s="242"/>
      <c r="AF3" s="242"/>
      <c r="AG3" s="242"/>
      <c r="AH3" s="242"/>
      <c r="AI3" s="242"/>
      <c r="AJ3" s="242"/>
      <c r="AK3" s="242"/>
      <c r="AL3" s="242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  <c r="AF4" s="242"/>
      <c r="AG4" s="242"/>
      <c r="AH4" s="242"/>
      <c r="AI4" s="242"/>
      <c r="AJ4" s="242"/>
      <c r="AK4" s="242"/>
      <c r="AL4" s="242"/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  <c r="AF5" s="242"/>
      <c r="AG5" s="242"/>
      <c r="AH5" s="242"/>
      <c r="AI5" s="242"/>
      <c r="AJ5" s="242"/>
      <c r="AK5" s="242"/>
      <c r="AL5" s="242"/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46474</v>
      </c>
      <c r="M6" s="186" t="n">
        <f aca="false">L6+1</f>
        <v>46475</v>
      </c>
      <c r="N6" s="186" t="n">
        <f aca="false">M6+1</f>
        <v>46476</v>
      </c>
      <c r="O6" s="186" t="n">
        <f aca="false">N6+1</f>
        <v>46477</v>
      </c>
      <c r="P6" s="186" t="n">
        <f aca="false">O6+1</f>
        <v>46478</v>
      </c>
      <c r="Q6" s="186" t="n">
        <f aca="false">P6+1</f>
        <v>46479</v>
      </c>
      <c r="R6" s="187" t="n">
        <f aca="false">Q6+1</f>
        <v>46480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  <c r="AF6" s="242"/>
      <c r="AG6" s="242"/>
      <c r="AH6" s="242"/>
      <c r="AI6" s="242"/>
      <c r="AJ6" s="242"/>
      <c r="AK6" s="242"/>
      <c r="AL6" s="242"/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46481</v>
      </c>
      <c r="M7" s="186" t="n">
        <f aca="false">L7+1</f>
        <v>46482</v>
      </c>
      <c r="N7" s="186" t="n">
        <f aca="false">M7+1</f>
        <v>46483</v>
      </c>
      <c r="O7" s="186" t="n">
        <f aca="false">N7+1</f>
        <v>46484</v>
      </c>
      <c r="P7" s="186" t="n">
        <f aca="false">O7+1</f>
        <v>46485</v>
      </c>
      <c r="Q7" s="186" t="n">
        <f aca="false">P7+1</f>
        <v>46486</v>
      </c>
      <c r="R7" s="187" t="n">
        <f aca="false">Q7+1</f>
        <v>46487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  <c r="AF7" s="242"/>
      <c r="AG7" s="242"/>
      <c r="AH7" s="242"/>
      <c r="AI7" s="242"/>
      <c r="AJ7" s="242"/>
      <c r="AK7" s="242"/>
      <c r="AL7" s="242"/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46488</v>
      </c>
      <c r="M8" s="186" t="n">
        <f aca="false">L8+1</f>
        <v>46489</v>
      </c>
      <c r="N8" s="186" t="n">
        <f aca="false">M8+1</f>
        <v>46490</v>
      </c>
      <c r="O8" s="186" t="n">
        <f aca="false">N8+1</f>
        <v>46491</v>
      </c>
      <c r="P8" s="186" t="n">
        <f aca="false">O8+1</f>
        <v>46492</v>
      </c>
      <c r="Q8" s="186" t="n">
        <f aca="false">P8+1</f>
        <v>46493</v>
      </c>
      <c r="R8" s="187" t="n">
        <f aca="false">Q8+1</f>
        <v>46494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  <c r="AF8" s="242"/>
      <c r="AG8" s="242"/>
      <c r="AH8" s="242"/>
      <c r="AI8" s="242"/>
      <c r="AJ8" s="242"/>
      <c r="AK8" s="242"/>
      <c r="AL8" s="242"/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46495</v>
      </c>
      <c r="M9" s="186" t="n">
        <f aca="false">L9+1</f>
        <v>46496</v>
      </c>
      <c r="N9" s="186" t="n">
        <f aca="false">M9+1</f>
        <v>46497</v>
      </c>
      <c r="O9" s="186" t="n">
        <f aca="false">N9+1</f>
        <v>46498</v>
      </c>
      <c r="P9" s="186" t="n">
        <f aca="false">O9+1</f>
        <v>46499</v>
      </c>
      <c r="Q9" s="186" t="n">
        <f aca="false">P9+1</f>
        <v>46500</v>
      </c>
      <c r="R9" s="187" t="n">
        <f aca="false">Q9+1</f>
        <v>46501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  <c r="AF9" s="242"/>
      <c r="AG9" s="242"/>
      <c r="AH9" s="242"/>
      <c r="AI9" s="242"/>
      <c r="AJ9" s="242"/>
      <c r="AK9" s="242"/>
      <c r="AL9" s="242"/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46502</v>
      </c>
      <c r="M10" s="186" t="n">
        <f aca="false">L10+1</f>
        <v>46503</v>
      </c>
      <c r="N10" s="186" t="n">
        <f aca="false">M10+1</f>
        <v>46504</v>
      </c>
      <c r="O10" s="186" t="n">
        <f aca="false">N10+1</f>
        <v>46505</v>
      </c>
      <c r="P10" s="186" t="n">
        <f aca="false">O10+1</f>
        <v>46506</v>
      </c>
      <c r="Q10" s="186" t="n">
        <f aca="false">P10+1</f>
        <v>46507</v>
      </c>
      <c r="R10" s="187" t="n">
        <f aca="false">Q10+1</f>
        <v>46508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  <c r="AF10" s="242"/>
      <c r="AG10" s="242"/>
      <c r="AH10" s="242"/>
      <c r="AI10" s="242"/>
      <c r="AJ10" s="242"/>
      <c r="AK10" s="242"/>
      <c r="AL10" s="242"/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46509</v>
      </c>
      <c r="M11" s="199" t="n">
        <f aca="false">L11+1</f>
        <v>46510</v>
      </c>
      <c r="N11" s="199" t="n">
        <f aca="false">M11+1</f>
        <v>46511</v>
      </c>
      <c r="O11" s="199" t="n">
        <f aca="false">N11+1</f>
        <v>46512</v>
      </c>
      <c r="P11" s="199" t="n">
        <f aca="false">O11+1</f>
        <v>46513</v>
      </c>
      <c r="Q11" s="199" t="n">
        <f aca="false">P11+1</f>
        <v>46514</v>
      </c>
      <c r="R11" s="200" t="n">
        <f aca="false">Q11+1</f>
        <v>46515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  <c r="AF11" s="242"/>
      <c r="AG11" s="242"/>
      <c r="AH11" s="242"/>
      <c r="AI11" s="242"/>
      <c r="AJ11" s="242"/>
      <c r="AK11" s="242"/>
      <c r="AL11" s="242"/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  <c r="AF12" s="242"/>
      <c r="AG12" s="242"/>
      <c r="AH12" s="242"/>
      <c r="AI12" s="242"/>
      <c r="AJ12" s="242"/>
      <c r="AK12" s="242"/>
      <c r="AL12" s="242"/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  <c r="AF13" s="242"/>
      <c r="AG13" s="242"/>
      <c r="AH13" s="242"/>
      <c r="AI13" s="242"/>
      <c r="AJ13" s="242"/>
      <c r="AK13" s="242"/>
      <c r="AL13" s="242"/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  <c r="AF14" s="242"/>
      <c r="AG14" s="242"/>
      <c r="AH14" s="242"/>
      <c r="AI14" s="242"/>
      <c r="AJ14" s="242"/>
      <c r="AK14" s="242"/>
      <c r="AL14" s="242"/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  <c r="AF15" s="242"/>
      <c r="AG15" s="242"/>
      <c r="AH15" s="242"/>
      <c r="AI15" s="242"/>
      <c r="AJ15" s="242"/>
      <c r="AK15" s="242"/>
      <c r="AL15" s="242"/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  <c r="AF16" s="53"/>
      <c r="AG16" s="53"/>
      <c r="AH16" s="53"/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  <c r="AF17" s="53"/>
      <c r="AG17" s="53"/>
      <c r="AH17" s="53"/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  <c r="AF18" s="53"/>
      <c r="AG18" s="53"/>
      <c r="AH18" s="53"/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  <c r="AF19" s="53"/>
      <c r="AG19" s="53"/>
      <c r="AH19" s="53"/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  <c r="AB20" s="53"/>
      <c r="AC20" s="53"/>
      <c r="AD20" s="53"/>
      <c r="AE20" s="53"/>
      <c r="AF20" s="53"/>
      <c r="AG20" s="53"/>
      <c r="AH20" s="53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  <c r="AB21" s="53"/>
      <c r="AC21" s="53"/>
      <c r="AD21" s="53"/>
      <c r="AE21" s="53"/>
      <c r="AF21" s="53"/>
      <c r="AG21" s="53"/>
      <c r="AH21" s="53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  <c r="AB22" s="53"/>
      <c r="AC22" s="53"/>
      <c r="AD22" s="53"/>
      <c r="AE22" s="53"/>
      <c r="AF22" s="53"/>
      <c r="AG22" s="53"/>
      <c r="AH22" s="53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  <c r="AB23" s="53"/>
      <c r="AC23" s="53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D38" s="206"/>
      <c r="E38" s="206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</sheetData>
  <autoFilter ref="U5:W158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4"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F160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22.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5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5</v>
      </c>
      <c r="P3" s="172" t="s">
        <v>204</v>
      </c>
      <c r="Q3" s="173" t="n">
        <f aca="false">DATE(M3,O3,1)</f>
        <v>46508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  <c r="AF5" s="243"/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46502</v>
      </c>
      <c r="M6" s="186" t="n">
        <f aca="false">L6+1</f>
        <v>46503</v>
      </c>
      <c r="N6" s="186" t="n">
        <f aca="false">M6+1</f>
        <v>46504</v>
      </c>
      <c r="O6" s="186" t="n">
        <f aca="false">N6+1</f>
        <v>46505</v>
      </c>
      <c r="P6" s="186" t="n">
        <f aca="false">O6+1</f>
        <v>46506</v>
      </c>
      <c r="Q6" s="186" t="n">
        <f aca="false">P6+1</f>
        <v>46507</v>
      </c>
      <c r="R6" s="187" t="n">
        <f aca="false">Q6+1</f>
        <v>46508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  <c r="AF6" s="243"/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46509</v>
      </c>
      <c r="M7" s="186" t="n">
        <f aca="false">L7+1</f>
        <v>46510</v>
      </c>
      <c r="N7" s="186" t="n">
        <f aca="false">M7+1</f>
        <v>46511</v>
      </c>
      <c r="O7" s="186" t="n">
        <f aca="false">N7+1</f>
        <v>46512</v>
      </c>
      <c r="P7" s="186" t="n">
        <f aca="false">O7+1</f>
        <v>46513</v>
      </c>
      <c r="Q7" s="186" t="n">
        <f aca="false">P7+1</f>
        <v>46514</v>
      </c>
      <c r="R7" s="187" t="n">
        <f aca="false">Q7+1</f>
        <v>46515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  <c r="AF7" s="243"/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46516</v>
      </c>
      <c r="M8" s="186" t="n">
        <f aca="false">L8+1</f>
        <v>46517</v>
      </c>
      <c r="N8" s="186" t="n">
        <f aca="false">M8+1</f>
        <v>46518</v>
      </c>
      <c r="O8" s="186" t="n">
        <f aca="false">N8+1</f>
        <v>46519</v>
      </c>
      <c r="P8" s="186" t="n">
        <f aca="false">O8+1</f>
        <v>46520</v>
      </c>
      <c r="Q8" s="186" t="n">
        <f aca="false">P8+1</f>
        <v>46521</v>
      </c>
      <c r="R8" s="187" t="n">
        <f aca="false">Q8+1</f>
        <v>46522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  <c r="AF8" s="243"/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46523</v>
      </c>
      <c r="M9" s="186" t="n">
        <f aca="false">L9+1</f>
        <v>46524</v>
      </c>
      <c r="N9" s="186" t="n">
        <f aca="false">M9+1</f>
        <v>46525</v>
      </c>
      <c r="O9" s="186" t="n">
        <f aca="false">N9+1</f>
        <v>46526</v>
      </c>
      <c r="P9" s="186" t="n">
        <f aca="false">O9+1</f>
        <v>46527</v>
      </c>
      <c r="Q9" s="186" t="n">
        <f aca="false">P9+1</f>
        <v>46528</v>
      </c>
      <c r="R9" s="187" t="n">
        <f aca="false">Q9+1</f>
        <v>46529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  <c r="AF9" s="243"/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46530</v>
      </c>
      <c r="M10" s="186" t="n">
        <f aca="false">L10+1</f>
        <v>46531</v>
      </c>
      <c r="N10" s="186" t="n">
        <f aca="false">M10+1</f>
        <v>46532</v>
      </c>
      <c r="O10" s="186" t="n">
        <f aca="false">N10+1</f>
        <v>46533</v>
      </c>
      <c r="P10" s="186" t="n">
        <f aca="false">O10+1</f>
        <v>46534</v>
      </c>
      <c r="Q10" s="186" t="n">
        <f aca="false">P10+1</f>
        <v>46535</v>
      </c>
      <c r="R10" s="187" t="n">
        <f aca="false">Q10+1</f>
        <v>46536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  <c r="AF10" s="243"/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46537</v>
      </c>
      <c r="M11" s="199" t="n">
        <f aca="false">L11+1</f>
        <v>46538</v>
      </c>
      <c r="N11" s="199" t="n">
        <f aca="false">M11+1</f>
        <v>46539</v>
      </c>
      <c r="O11" s="199" t="n">
        <f aca="false">N11+1</f>
        <v>46540</v>
      </c>
      <c r="P11" s="199" t="n">
        <f aca="false">O11+1</f>
        <v>46541</v>
      </c>
      <c r="Q11" s="199" t="n">
        <f aca="false">P11+1</f>
        <v>46542</v>
      </c>
      <c r="R11" s="200" t="n">
        <f aca="false">Q11+1</f>
        <v>46543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  <c r="AF11" s="243"/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  <c r="AF12" s="243"/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  <c r="AF13" s="243"/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  <c r="AF14" s="243"/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  <c r="AF15" s="243"/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B38" s="175"/>
      <c r="C38" s="53"/>
      <c r="D38" s="53"/>
      <c r="E38" s="53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</sheetData>
  <autoFilter ref="U5:W158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4"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G18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15.7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6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6</v>
      </c>
      <c r="P3" s="172" t="s">
        <v>204</v>
      </c>
      <c r="Q3" s="173" t="n">
        <f aca="false">DATE(M3,O3,1)</f>
        <v>46539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46537</v>
      </c>
      <c r="M6" s="186" t="n">
        <f aca="false">L6+1</f>
        <v>46538</v>
      </c>
      <c r="N6" s="186" t="n">
        <f aca="false">M6+1</f>
        <v>46539</v>
      </c>
      <c r="O6" s="186" t="n">
        <f aca="false">N6+1</f>
        <v>46540</v>
      </c>
      <c r="P6" s="186" t="n">
        <f aca="false">O6+1</f>
        <v>46541</v>
      </c>
      <c r="Q6" s="186" t="n">
        <f aca="false">P6+1</f>
        <v>46542</v>
      </c>
      <c r="R6" s="187" t="n">
        <f aca="false">Q6+1</f>
        <v>46543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  <c r="AF6" s="244"/>
      <c r="AG6" s="244"/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46544</v>
      </c>
      <c r="M7" s="186" t="n">
        <f aca="false">L7+1</f>
        <v>46545</v>
      </c>
      <c r="N7" s="186" t="n">
        <f aca="false">M7+1</f>
        <v>46546</v>
      </c>
      <c r="O7" s="186" t="n">
        <f aca="false">N7+1</f>
        <v>46547</v>
      </c>
      <c r="P7" s="186" t="n">
        <f aca="false">O7+1</f>
        <v>46548</v>
      </c>
      <c r="Q7" s="186" t="n">
        <f aca="false">P7+1</f>
        <v>46549</v>
      </c>
      <c r="R7" s="187" t="n">
        <f aca="false">Q7+1</f>
        <v>46550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  <c r="AF7" s="244"/>
      <c r="AG7" s="244"/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46551</v>
      </c>
      <c r="M8" s="186" t="n">
        <f aca="false">L8+1</f>
        <v>46552</v>
      </c>
      <c r="N8" s="186" t="n">
        <f aca="false">M8+1</f>
        <v>46553</v>
      </c>
      <c r="O8" s="186" t="n">
        <f aca="false">N8+1</f>
        <v>46554</v>
      </c>
      <c r="P8" s="186" t="n">
        <f aca="false">O8+1</f>
        <v>46555</v>
      </c>
      <c r="Q8" s="186" t="n">
        <f aca="false">P8+1</f>
        <v>46556</v>
      </c>
      <c r="R8" s="187" t="n">
        <f aca="false">Q8+1</f>
        <v>46557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  <c r="AF8" s="244"/>
      <c r="AG8" s="244"/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46558</v>
      </c>
      <c r="M9" s="186" t="n">
        <f aca="false">L9+1</f>
        <v>46559</v>
      </c>
      <c r="N9" s="186" t="n">
        <f aca="false">M9+1</f>
        <v>46560</v>
      </c>
      <c r="O9" s="186" t="n">
        <f aca="false">N9+1</f>
        <v>46561</v>
      </c>
      <c r="P9" s="186" t="n">
        <f aca="false">O9+1</f>
        <v>46562</v>
      </c>
      <c r="Q9" s="186" t="n">
        <f aca="false">P9+1</f>
        <v>46563</v>
      </c>
      <c r="R9" s="187" t="n">
        <f aca="false">Q9+1</f>
        <v>46564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  <c r="AF9" s="244"/>
      <c r="AG9" s="244"/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46565</v>
      </c>
      <c r="M10" s="186" t="n">
        <f aca="false">L10+1</f>
        <v>46566</v>
      </c>
      <c r="N10" s="186" t="n">
        <f aca="false">M10+1</f>
        <v>46567</v>
      </c>
      <c r="O10" s="186" t="n">
        <f aca="false">N10+1</f>
        <v>46568</v>
      </c>
      <c r="P10" s="186" t="n">
        <f aca="false">O10+1</f>
        <v>46569</v>
      </c>
      <c r="Q10" s="186" t="n">
        <f aca="false">P10+1</f>
        <v>46570</v>
      </c>
      <c r="R10" s="187" t="n">
        <f aca="false">Q10+1</f>
        <v>46571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  <c r="AF10" s="244"/>
      <c r="AG10" s="244"/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46572</v>
      </c>
      <c r="M11" s="199" t="n">
        <f aca="false">L11+1</f>
        <v>46573</v>
      </c>
      <c r="N11" s="199" t="n">
        <f aca="false">M11+1</f>
        <v>46574</v>
      </c>
      <c r="O11" s="199" t="n">
        <f aca="false">N11+1</f>
        <v>46575</v>
      </c>
      <c r="P11" s="199" t="n">
        <f aca="false">O11+1</f>
        <v>46576</v>
      </c>
      <c r="Q11" s="199" t="n">
        <f aca="false">P11+1</f>
        <v>46577</v>
      </c>
      <c r="R11" s="200" t="n">
        <f aca="false">Q11+1</f>
        <v>46578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  <c r="AF11" s="244"/>
      <c r="AG11" s="244"/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  <c r="AF12" s="244"/>
      <c r="AG12" s="244"/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  <c r="AF13" s="244"/>
      <c r="AG13" s="244"/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  <c r="AF14" s="244"/>
      <c r="AG14" s="244"/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  <c r="AF15" s="244"/>
      <c r="AG15" s="244"/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  <c r="AF16" s="244"/>
      <c r="AG16" s="244"/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  <c r="AF17" s="244"/>
      <c r="AG17" s="244"/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  <c r="AF18" s="244"/>
      <c r="AG18" s="244"/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B38" s="175"/>
      <c r="C38" s="53"/>
      <c r="D38" s="53"/>
      <c r="E38" s="53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  <row r="161" customFormat="false" ht="22.5" hidden="false" customHeight="true" outlineLevel="0" collapsed="false"/>
    <row r="162" customFormat="false" ht="22.5" hidden="false" customHeight="true" outlineLevel="0" collapsed="false"/>
    <row r="163" customFormat="false" ht="22.5" hidden="false" customHeight="true" outlineLevel="0" collapsed="false"/>
    <row r="164" customFormat="false" ht="22.5" hidden="false" customHeight="true" outlineLevel="0" collapsed="false"/>
    <row r="165" customFormat="false" ht="22.5" hidden="false" customHeight="true" outlineLevel="0" collapsed="false"/>
    <row r="166" customFormat="false" ht="22.5" hidden="false" customHeight="true" outlineLevel="0" collapsed="false"/>
    <row r="167" customFormat="false" ht="22.5" hidden="false" customHeight="true" outlineLevel="0" collapsed="false"/>
    <row r="168" customFormat="false" ht="22.5" hidden="false" customHeight="true" outlineLevel="0" collapsed="false"/>
    <row r="169" customFormat="false" ht="22.5" hidden="false" customHeight="true" outlineLevel="0" collapsed="false"/>
    <row r="170" customFormat="false" ht="22.5" hidden="false" customHeight="true" outlineLevel="0" collapsed="false"/>
    <row r="171" customFormat="false" ht="22.5" hidden="false" customHeight="true" outlineLevel="0" collapsed="false"/>
    <row r="172" customFormat="false" ht="22.5" hidden="false" customHeight="true" outlineLevel="0" collapsed="false"/>
    <row r="173" customFormat="false" ht="22.5" hidden="false" customHeight="true" outlineLevel="0" collapsed="false"/>
    <row r="174" customFormat="false" ht="22.5" hidden="false" customHeight="true" outlineLevel="0" collapsed="false"/>
    <row r="175" customFormat="false" ht="22.5" hidden="false" customHeight="true" outlineLevel="0" collapsed="false"/>
    <row r="176" customFormat="false" ht="22.5" hidden="false" customHeight="true" outlineLevel="0" collapsed="false"/>
    <row r="177" customFormat="false" ht="22.5" hidden="false" customHeight="true" outlineLevel="0" collapsed="false"/>
    <row r="178" customFormat="false" ht="22.5" hidden="false" customHeight="true" outlineLevel="0" collapsed="false"/>
    <row r="179" customFormat="false" ht="22.5" hidden="false" customHeight="true" outlineLevel="0" collapsed="false"/>
    <row r="180" customFormat="false" ht="22.5" hidden="false" customHeight="true" outlineLevel="0" collapsed="false"/>
    <row r="181" customFormat="false" ht="22.5" hidden="false" customHeight="true" outlineLevel="0" collapsed="false"/>
  </sheetData>
  <autoFilter ref="U5:W153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4"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G18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15.7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7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7</v>
      </c>
      <c r="P3" s="172" t="s">
        <v>204</v>
      </c>
      <c r="Q3" s="173" t="n">
        <f aca="false">DATE(M3,O3,1)</f>
        <v>46569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46565</v>
      </c>
      <c r="M6" s="186" t="n">
        <f aca="false">L6+1</f>
        <v>46566</v>
      </c>
      <c r="N6" s="186" t="n">
        <f aca="false">M6+1</f>
        <v>46567</v>
      </c>
      <c r="O6" s="186" t="n">
        <f aca="false">N6+1</f>
        <v>46568</v>
      </c>
      <c r="P6" s="186" t="n">
        <f aca="false">O6+1</f>
        <v>46569</v>
      </c>
      <c r="Q6" s="186" t="n">
        <f aca="false">P6+1</f>
        <v>46570</v>
      </c>
      <c r="R6" s="187" t="n">
        <f aca="false">Q6+1</f>
        <v>46571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  <c r="AF6" s="243"/>
      <c r="AG6" s="243"/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46572</v>
      </c>
      <c r="M7" s="186" t="n">
        <f aca="false">L7+1</f>
        <v>46573</v>
      </c>
      <c r="N7" s="186" t="n">
        <f aca="false">M7+1</f>
        <v>46574</v>
      </c>
      <c r="O7" s="186" t="n">
        <f aca="false">N7+1</f>
        <v>46575</v>
      </c>
      <c r="P7" s="186" t="n">
        <f aca="false">O7+1</f>
        <v>46576</v>
      </c>
      <c r="Q7" s="186" t="n">
        <f aca="false">P7+1</f>
        <v>46577</v>
      </c>
      <c r="R7" s="187" t="n">
        <f aca="false">Q7+1</f>
        <v>46578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  <c r="AF7" s="243"/>
      <c r="AG7" s="243"/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46579</v>
      </c>
      <c r="M8" s="186" t="n">
        <f aca="false">L8+1</f>
        <v>46580</v>
      </c>
      <c r="N8" s="186" t="n">
        <f aca="false">M8+1</f>
        <v>46581</v>
      </c>
      <c r="O8" s="186" t="n">
        <f aca="false">N8+1</f>
        <v>46582</v>
      </c>
      <c r="P8" s="186" t="n">
        <f aca="false">O8+1</f>
        <v>46583</v>
      </c>
      <c r="Q8" s="186" t="n">
        <f aca="false">P8+1</f>
        <v>46584</v>
      </c>
      <c r="R8" s="187" t="n">
        <f aca="false">Q8+1</f>
        <v>46585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  <c r="AF8" s="243"/>
      <c r="AG8" s="243"/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46586</v>
      </c>
      <c r="M9" s="186" t="n">
        <f aca="false">L9+1</f>
        <v>46587</v>
      </c>
      <c r="N9" s="186" t="n">
        <f aca="false">M9+1</f>
        <v>46588</v>
      </c>
      <c r="O9" s="186" t="n">
        <f aca="false">N9+1</f>
        <v>46589</v>
      </c>
      <c r="P9" s="186" t="n">
        <f aca="false">O9+1</f>
        <v>46590</v>
      </c>
      <c r="Q9" s="186" t="n">
        <f aca="false">P9+1</f>
        <v>46591</v>
      </c>
      <c r="R9" s="187" t="n">
        <f aca="false">Q9+1</f>
        <v>46592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  <c r="AF9" s="243"/>
      <c r="AG9" s="243"/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46593</v>
      </c>
      <c r="M10" s="186" t="n">
        <f aca="false">L10+1</f>
        <v>46594</v>
      </c>
      <c r="N10" s="186" t="n">
        <f aca="false">M10+1</f>
        <v>46595</v>
      </c>
      <c r="O10" s="186" t="n">
        <f aca="false">N10+1</f>
        <v>46596</v>
      </c>
      <c r="P10" s="186" t="n">
        <f aca="false">O10+1</f>
        <v>46597</v>
      </c>
      <c r="Q10" s="186" t="n">
        <f aca="false">P10+1</f>
        <v>46598</v>
      </c>
      <c r="R10" s="187" t="n">
        <f aca="false">Q10+1</f>
        <v>46599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  <c r="AF10" s="243"/>
      <c r="AG10" s="243"/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46600</v>
      </c>
      <c r="M11" s="199" t="n">
        <f aca="false">L11+1</f>
        <v>46601</v>
      </c>
      <c r="N11" s="199" t="n">
        <f aca="false">M11+1</f>
        <v>46602</v>
      </c>
      <c r="O11" s="199" t="n">
        <f aca="false">N11+1</f>
        <v>46603</v>
      </c>
      <c r="P11" s="199" t="n">
        <f aca="false">O11+1</f>
        <v>46604</v>
      </c>
      <c r="Q11" s="199" t="n">
        <f aca="false">P11+1</f>
        <v>46605</v>
      </c>
      <c r="R11" s="200" t="n">
        <f aca="false">Q11+1</f>
        <v>46606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  <c r="AF11" s="243"/>
      <c r="AG11" s="243"/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  <c r="AF12" s="243"/>
      <c r="AG12" s="243"/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  <c r="AF13" s="243"/>
      <c r="AG13" s="243"/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  <c r="AF14" s="243"/>
      <c r="AG14" s="243"/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  <c r="AF15" s="243"/>
      <c r="AG15" s="243"/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  <c r="AF16" s="243"/>
      <c r="AG16" s="243"/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  <c r="AF17" s="243"/>
      <c r="AG17" s="243"/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  <c r="AF18" s="243"/>
      <c r="AG18" s="243"/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  <c r="AF19" s="243"/>
      <c r="AG19" s="243"/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  <c r="AB20" s="243"/>
      <c r="AC20" s="243"/>
      <c r="AD20" s="243"/>
      <c r="AE20" s="243"/>
      <c r="AF20" s="243"/>
      <c r="AG20" s="243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  <c r="AB21" s="243"/>
      <c r="AC21" s="243"/>
      <c r="AD21" s="243"/>
      <c r="AE21" s="243"/>
      <c r="AF21" s="243"/>
      <c r="AG21" s="243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  <c r="AB22" s="243"/>
      <c r="AC22" s="243"/>
      <c r="AD22" s="243"/>
      <c r="AE22" s="243"/>
      <c r="AF22" s="243"/>
      <c r="AG22" s="243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  <c r="AB23" s="243"/>
      <c r="AC23" s="243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B38" s="175"/>
      <c r="C38" s="53"/>
      <c r="D38" s="53"/>
      <c r="E38" s="53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  <row r="161" customFormat="false" ht="22.5" hidden="false" customHeight="true" outlineLevel="0" collapsed="false"/>
    <row r="162" customFormat="false" ht="22.5" hidden="false" customHeight="true" outlineLevel="0" collapsed="false"/>
    <row r="163" customFormat="false" ht="22.5" hidden="false" customHeight="true" outlineLevel="0" collapsed="false"/>
    <row r="164" customFormat="false" ht="22.5" hidden="false" customHeight="true" outlineLevel="0" collapsed="false"/>
    <row r="165" customFormat="false" ht="22.5" hidden="false" customHeight="true" outlineLevel="0" collapsed="false"/>
    <row r="166" customFormat="false" ht="22.5" hidden="false" customHeight="true" outlineLevel="0" collapsed="false"/>
    <row r="167" customFormat="false" ht="22.5" hidden="false" customHeight="true" outlineLevel="0" collapsed="false"/>
    <row r="168" customFormat="false" ht="22.5" hidden="false" customHeight="true" outlineLevel="0" collapsed="false"/>
    <row r="169" customFormat="false" ht="22.5" hidden="false" customHeight="true" outlineLevel="0" collapsed="false"/>
    <row r="170" customFormat="false" ht="22.5" hidden="false" customHeight="true" outlineLevel="0" collapsed="false"/>
    <row r="171" customFormat="false" ht="22.5" hidden="false" customHeight="true" outlineLevel="0" collapsed="false"/>
    <row r="172" customFormat="false" ht="22.5" hidden="false" customHeight="true" outlineLevel="0" collapsed="false"/>
    <row r="173" customFormat="false" ht="22.5" hidden="false" customHeight="true" outlineLevel="0" collapsed="false"/>
    <row r="174" customFormat="false" ht="22.5" hidden="false" customHeight="true" outlineLevel="0" collapsed="false"/>
    <row r="175" customFormat="false" ht="22.5" hidden="false" customHeight="true" outlineLevel="0" collapsed="false"/>
    <row r="176" customFormat="false" ht="22.5" hidden="false" customHeight="true" outlineLevel="0" collapsed="false"/>
    <row r="177" customFormat="false" ht="22.5" hidden="false" customHeight="true" outlineLevel="0" collapsed="false"/>
    <row r="178" customFormat="false" ht="22.5" hidden="false" customHeight="true" outlineLevel="0" collapsed="false"/>
    <row r="179" customFormat="false" ht="22.5" hidden="false" customHeight="true" outlineLevel="0" collapsed="false"/>
    <row r="180" customFormat="false" ht="22.5" hidden="false" customHeight="true" outlineLevel="0" collapsed="false"/>
    <row r="181" customFormat="false" ht="22.5" hidden="false" customHeight="true" outlineLevel="0" collapsed="false"/>
  </sheetData>
  <autoFilter ref="U5:W154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5"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W6:W14" type="list">
      <formula1>"🍙食費,🧴日用品,📋雑費,⛺趣味・娯楽,🍷交際費,👔衣服・美容,🏥健康・医療,🚃交通費,🏠住宅,🔥💡光熱費,💧水道代,📱通信費,📺サブスク,🎓奨学金,📜保険,💳現金・カード,💪自己投資,❔その他"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E18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15.7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8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8</v>
      </c>
      <c r="P3" s="172" t="s">
        <v>204</v>
      </c>
      <c r="Q3" s="173" t="n">
        <f aca="false">DATE(M3,O3,1)</f>
        <v>46600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46600</v>
      </c>
      <c r="M6" s="186" t="n">
        <f aca="false">L6+1</f>
        <v>46601</v>
      </c>
      <c r="N6" s="186" t="n">
        <f aca="false">M6+1</f>
        <v>46602</v>
      </c>
      <c r="O6" s="186" t="n">
        <f aca="false">N6+1</f>
        <v>46603</v>
      </c>
      <c r="P6" s="186" t="n">
        <f aca="false">O6+1</f>
        <v>46604</v>
      </c>
      <c r="Q6" s="186" t="n">
        <f aca="false">P6+1</f>
        <v>46605</v>
      </c>
      <c r="R6" s="187" t="n">
        <f aca="false">Q6+1</f>
        <v>46606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46607</v>
      </c>
      <c r="M7" s="186" t="n">
        <f aca="false">L7+1</f>
        <v>46608</v>
      </c>
      <c r="N7" s="186" t="n">
        <f aca="false">M7+1</f>
        <v>46609</v>
      </c>
      <c r="O7" s="186" t="n">
        <f aca="false">N7+1</f>
        <v>46610</v>
      </c>
      <c r="P7" s="186" t="n">
        <f aca="false">O7+1</f>
        <v>46611</v>
      </c>
      <c r="Q7" s="186" t="n">
        <f aca="false">P7+1</f>
        <v>46612</v>
      </c>
      <c r="R7" s="187" t="n">
        <f aca="false">Q7+1</f>
        <v>46613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46614</v>
      </c>
      <c r="M8" s="186" t="n">
        <f aca="false">L8+1</f>
        <v>46615</v>
      </c>
      <c r="N8" s="186" t="n">
        <f aca="false">M8+1</f>
        <v>46616</v>
      </c>
      <c r="O8" s="186" t="n">
        <f aca="false">N8+1</f>
        <v>46617</v>
      </c>
      <c r="P8" s="186" t="n">
        <f aca="false">O8+1</f>
        <v>46618</v>
      </c>
      <c r="Q8" s="186" t="n">
        <f aca="false">P8+1</f>
        <v>46619</v>
      </c>
      <c r="R8" s="187" t="n">
        <f aca="false">Q8+1</f>
        <v>46620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46621</v>
      </c>
      <c r="M9" s="186" t="n">
        <f aca="false">L9+1</f>
        <v>46622</v>
      </c>
      <c r="N9" s="186" t="n">
        <f aca="false">M9+1</f>
        <v>46623</v>
      </c>
      <c r="O9" s="186" t="n">
        <f aca="false">N9+1</f>
        <v>46624</v>
      </c>
      <c r="P9" s="186" t="n">
        <f aca="false">O9+1</f>
        <v>46625</v>
      </c>
      <c r="Q9" s="186" t="n">
        <f aca="false">P9+1</f>
        <v>46626</v>
      </c>
      <c r="R9" s="187" t="n">
        <f aca="false">Q9+1</f>
        <v>46627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46628</v>
      </c>
      <c r="M10" s="186" t="n">
        <f aca="false">L10+1</f>
        <v>46629</v>
      </c>
      <c r="N10" s="186" t="n">
        <f aca="false">M10+1</f>
        <v>46630</v>
      </c>
      <c r="O10" s="186" t="n">
        <f aca="false">N10+1</f>
        <v>46631</v>
      </c>
      <c r="P10" s="186" t="n">
        <f aca="false">O10+1</f>
        <v>46632</v>
      </c>
      <c r="Q10" s="186" t="n">
        <f aca="false">P10+1</f>
        <v>46633</v>
      </c>
      <c r="R10" s="187" t="n">
        <f aca="false">Q10+1</f>
        <v>46634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46635</v>
      </c>
      <c r="M11" s="199" t="n">
        <f aca="false">L11+1</f>
        <v>46636</v>
      </c>
      <c r="N11" s="199" t="n">
        <f aca="false">M11+1</f>
        <v>46637</v>
      </c>
      <c r="O11" s="199" t="n">
        <f aca="false">N11+1</f>
        <v>46638</v>
      </c>
      <c r="P11" s="199" t="n">
        <f aca="false">O11+1</f>
        <v>46639</v>
      </c>
      <c r="Q11" s="199" t="n">
        <f aca="false">P11+1</f>
        <v>46640</v>
      </c>
      <c r="R11" s="200" t="n">
        <f aca="false">Q11+1</f>
        <v>46641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  <c r="AB20" s="1"/>
      <c r="AC20" s="1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B38" s="175"/>
      <c r="C38" s="53"/>
      <c r="D38" s="53"/>
      <c r="E38" s="53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  <row r="161" customFormat="false" ht="22.5" hidden="false" customHeight="true" outlineLevel="0" collapsed="false"/>
    <row r="162" customFormat="false" ht="22.5" hidden="false" customHeight="true" outlineLevel="0" collapsed="false"/>
    <row r="163" customFormat="false" ht="22.5" hidden="false" customHeight="true" outlineLevel="0" collapsed="false"/>
    <row r="164" customFormat="false" ht="22.5" hidden="false" customHeight="true" outlineLevel="0" collapsed="false"/>
    <row r="165" customFormat="false" ht="22.5" hidden="false" customHeight="true" outlineLevel="0" collapsed="false"/>
    <row r="166" customFormat="false" ht="22.5" hidden="false" customHeight="true" outlineLevel="0" collapsed="false"/>
    <row r="167" customFormat="false" ht="22.5" hidden="false" customHeight="true" outlineLevel="0" collapsed="false"/>
    <row r="168" customFormat="false" ht="22.5" hidden="false" customHeight="true" outlineLevel="0" collapsed="false"/>
    <row r="169" customFormat="false" ht="22.5" hidden="false" customHeight="true" outlineLevel="0" collapsed="false"/>
    <row r="170" customFormat="false" ht="22.5" hidden="false" customHeight="true" outlineLevel="0" collapsed="false"/>
    <row r="171" customFormat="false" ht="22.5" hidden="false" customHeight="true" outlineLevel="0" collapsed="false"/>
    <row r="172" customFormat="false" ht="22.5" hidden="false" customHeight="true" outlineLevel="0" collapsed="false"/>
    <row r="173" customFormat="false" ht="22.5" hidden="false" customHeight="true" outlineLevel="0" collapsed="false"/>
    <row r="174" customFormat="false" ht="22.5" hidden="false" customHeight="true" outlineLevel="0" collapsed="false"/>
    <row r="175" customFormat="false" ht="22.5" hidden="false" customHeight="true" outlineLevel="0" collapsed="false"/>
    <row r="176" customFormat="false" ht="22.5" hidden="false" customHeight="true" outlineLevel="0" collapsed="false"/>
    <row r="177" customFormat="false" ht="22.5" hidden="false" customHeight="true" outlineLevel="0" collapsed="false"/>
    <row r="178" customFormat="false" ht="22.5" hidden="false" customHeight="true" outlineLevel="0" collapsed="false"/>
    <row r="179" customFormat="false" ht="22.5" hidden="false" customHeight="true" outlineLevel="0" collapsed="false"/>
    <row r="180" customFormat="false" ht="22.5" hidden="false" customHeight="true" outlineLevel="0" collapsed="false"/>
    <row r="181" customFormat="false" ht="22.5" hidden="false" customHeight="true" outlineLevel="0" collapsed="false"/>
  </sheetData>
  <autoFilter ref="U5:W154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5"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W6:W14" type="list">
      <formula1>"🍙食費,🧴日用品,📋雑費,⛺趣味・娯楽,🍷交際費,👔衣服・美容,🏥健康・医療,🚃交通費,🏠住宅,🔥💡光熱費,💧水道代,📱通信費,📺サブスク,🎓奨学金,📜保険,💳現金・カード,💪自己投資,❔その他"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F18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15.7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9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9</v>
      </c>
      <c r="P3" s="172" t="s">
        <v>204</v>
      </c>
      <c r="Q3" s="173" t="n">
        <f aca="false">DATE(M3,O3,1)</f>
        <v>46631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46628</v>
      </c>
      <c r="M6" s="186" t="n">
        <f aca="false">L6+1</f>
        <v>46629</v>
      </c>
      <c r="N6" s="186" t="n">
        <f aca="false">M6+1</f>
        <v>46630</v>
      </c>
      <c r="O6" s="186" t="n">
        <f aca="false">N6+1</f>
        <v>46631</v>
      </c>
      <c r="P6" s="186" t="n">
        <f aca="false">O6+1</f>
        <v>46632</v>
      </c>
      <c r="Q6" s="186" t="n">
        <f aca="false">P6+1</f>
        <v>46633</v>
      </c>
      <c r="R6" s="187" t="n">
        <f aca="false">Q6+1</f>
        <v>46634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46635</v>
      </c>
      <c r="M7" s="186" t="n">
        <f aca="false">L7+1</f>
        <v>46636</v>
      </c>
      <c r="N7" s="186" t="n">
        <f aca="false">M7+1</f>
        <v>46637</v>
      </c>
      <c r="O7" s="186" t="n">
        <f aca="false">N7+1</f>
        <v>46638</v>
      </c>
      <c r="P7" s="186" t="n">
        <f aca="false">O7+1</f>
        <v>46639</v>
      </c>
      <c r="Q7" s="186" t="n">
        <f aca="false">P7+1</f>
        <v>46640</v>
      </c>
      <c r="R7" s="187" t="n">
        <f aca="false">Q7+1</f>
        <v>46641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  <c r="AF7" s="243"/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46642</v>
      </c>
      <c r="M8" s="186" t="n">
        <f aca="false">L8+1</f>
        <v>46643</v>
      </c>
      <c r="N8" s="186" t="n">
        <f aca="false">M8+1</f>
        <v>46644</v>
      </c>
      <c r="O8" s="186" t="n">
        <f aca="false">N8+1</f>
        <v>46645</v>
      </c>
      <c r="P8" s="186" t="n">
        <f aca="false">O8+1</f>
        <v>46646</v>
      </c>
      <c r="Q8" s="186" t="n">
        <f aca="false">P8+1</f>
        <v>46647</v>
      </c>
      <c r="R8" s="187" t="n">
        <f aca="false">Q8+1</f>
        <v>46648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  <c r="AF8" s="243"/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46649</v>
      </c>
      <c r="M9" s="186" t="n">
        <f aca="false">L9+1</f>
        <v>46650</v>
      </c>
      <c r="N9" s="186" t="n">
        <f aca="false">M9+1</f>
        <v>46651</v>
      </c>
      <c r="O9" s="186" t="n">
        <f aca="false">N9+1</f>
        <v>46652</v>
      </c>
      <c r="P9" s="186" t="n">
        <f aca="false">O9+1</f>
        <v>46653</v>
      </c>
      <c r="Q9" s="186" t="n">
        <f aca="false">P9+1</f>
        <v>46654</v>
      </c>
      <c r="R9" s="187" t="n">
        <f aca="false">Q9+1</f>
        <v>46655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  <c r="AF9" s="243"/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46656</v>
      </c>
      <c r="M10" s="186" t="n">
        <f aca="false">L10+1</f>
        <v>46657</v>
      </c>
      <c r="N10" s="186" t="n">
        <f aca="false">M10+1</f>
        <v>46658</v>
      </c>
      <c r="O10" s="186" t="n">
        <f aca="false">N10+1</f>
        <v>46659</v>
      </c>
      <c r="P10" s="186" t="n">
        <f aca="false">O10+1</f>
        <v>46660</v>
      </c>
      <c r="Q10" s="186" t="n">
        <f aca="false">P10+1</f>
        <v>46661</v>
      </c>
      <c r="R10" s="187" t="n">
        <f aca="false">Q10+1</f>
        <v>46662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  <c r="AF10" s="243"/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46663</v>
      </c>
      <c r="M11" s="199" t="n">
        <f aca="false">L11+1</f>
        <v>46664</v>
      </c>
      <c r="N11" s="199" t="n">
        <f aca="false">M11+1</f>
        <v>46665</v>
      </c>
      <c r="O11" s="199" t="n">
        <f aca="false">N11+1</f>
        <v>46666</v>
      </c>
      <c r="P11" s="199" t="n">
        <f aca="false">O11+1</f>
        <v>46667</v>
      </c>
      <c r="Q11" s="199" t="n">
        <f aca="false">P11+1</f>
        <v>46668</v>
      </c>
      <c r="R11" s="200" t="n">
        <f aca="false">Q11+1</f>
        <v>46669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  <c r="AF11" s="243"/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  <c r="AF12" s="243"/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  <c r="AF13" s="243"/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  <c r="AF14" s="243"/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  <c r="AF15" s="243"/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B38" s="175"/>
      <c r="C38" s="53"/>
      <c r="D38" s="53"/>
      <c r="E38" s="53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  <row r="161" customFormat="false" ht="22.5" hidden="false" customHeight="true" outlineLevel="0" collapsed="false"/>
    <row r="162" customFormat="false" ht="22.5" hidden="false" customHeight="true" outlineLevel="0" collapsed="false"/>
    <row r="163" customFormat="false" ht="22.5" hidden="false" customHeight="true" outlineLevel="0" collapsed="false"/>
    <row r="164" customFormat="false" ht="22.5" hidden="false" customHeight="true" outlineLevel="0" collapsed="false"/>
    <row r="165" customFormat="false" ht="22.5" hidden="false" customHeight="true" outlineLevel="0" collapsed="false"/>
    <row r="166" customFormat="false" ht="22.5" hidden="false" customHeight="true" outlineLevel="0" collapsed="false"/>
    <row r="167" customFormat="false" ht="22.5" hidden="false" customHeight="true" outlineLevel="0" collapsed="false"/>
    <row r="168" customFormat="false" ht="22.5" hidden="false" customHeight="true" outlineLevel="0" collapsed="false"/>
    <row r="169" customFormat="false" ht="22.5" hidden="false" customHeight="true" outlineLevel="0" collapsed="false"/>
    <row r="170" customFormat="false" ht="22.5" hidden="false" customHeight="true" outlineLevel="0" collapsed="false"/>
    <row r="171" customFormat="false" ht="22.5" hidden="false" customHeight="true" outlineLevel="0" collapsed="false"/>
    <row r="172" customFormat="false" ht="22.5" hidden="false" customHeight="true" outlineLevel="0" collapsed="false"/>
    <row r="173" customFormat="false" ht="22.5" hidden="false" customHeight="true" outlineLevel="0" collapsed="false"/>
    <row r="174" customFormat="false" ht="22.5" hidden="false" customHeight="true" outlineLevel="0" collapsed="false"/>
    <row r="175" customFormat="false" ht="22.5" hidden="false" customHeight="true" outlineLevel="0" collapsed="false"/>
    <row r="176" customFormat="false" ht="22.5" hidden="false" customHeight="true" outlineLevel="0" collapsed="false"/>
    <row r="177" customFormat="false" ht="22.5" hidden="false" customHeight="true" outlineLevel="0" collapsed="false"/>
    <row r="178" customFormat="false" ht="22.5" hidden="false" customHeight="true" outlineLevel="0" collapsed="false"/>
    <row r="179" customFormat="false" ht="22.5" hidden="false" customHeight="true" outlineLevel="0" collapsed="false"/>
    <row r="180" customFormat="false" ht="22.5" hidden="false" customHeight="true" outlineLevel="0" collapsed="false"/>
    <row r="181" customFormat="false" ht="22.5" hidden="false" customHeight="true" outlineLevel="0" collapsed="false"/>
  </sheetData>
  <autoFilter ref="U5:W154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5"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W6:W14" type="list">
      <formula1>"🍙食費,🧴日用品,📋雑費,⛺趣味・娯楽,🍷交際費,👔衣服・美容,🏥健康・医療,🚃交通費,🏠住宅,🔥💡光熱費,💧水道代,📱通信費,📺サブスク,🎓奨学金,📜保険,💳現金・カード,💪自己投資,❔その他"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E18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15.7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10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10</v>
      </c>
      <c r="P3" s="172" t="s">
        <v>204</v>
      </c>
      <c r="Q3" s="173" t="n">
        <f aca="false">DATE(M3,O3,1)</f>
        <v>46661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46656</v>
      </c>
      <c r="M6" s="186" t="n">
        <f aca="false">L6+1</f>
        <v>46657</v>
      </c>
      <c r="N6" s="186" t="n">
        <f aca="false">M6+1</f>
        <v>46658</v>
      </c>
      <c r="O6" s="186" t="n">
        <f aca="false">N6+1</f>
        <v>46659</v>
      </c>
      <c r="P6" s="186" t="n">
        <f aca="false">O6+1</f>
        <v>46660</v>
      </c>
      <c r="Q6" s="186" t="n">
        <f aca="false">P6+1</f>
        <v>46661</v>
      </c>
      <c r="R6" s="187" t="n">
        <f aca="false">Q6+1</f>
        <v>46662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46663</v>
      </c>
      <c r="M7" s="186" t="n">
        <f aca="false">L7+1</f>
        <v>46664</v>
      </c>
      <c r="N7" s="186" t="n">
        <f aca="false">M7+1</f>
        <v>46665</v>
      </c>
      <c r="O7" s="186" t="n">
        <f aca="false">N7+1</f>
        <v>46666</v>
      </c>
      <c r="P7" s="186" t="n">
        <f aca="false">O7+1</f>
        <v>46667</v>
      </c>
      <c r="Q7" s="186" t="n">
        <f aca="false">P7+1</f>
        <v>46668</v>
      </c>
      <c r="R7" s="187" t="n">
        <f aca="false">Q7+1</f>
        <v>46669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46670</v>
      </c>
      <c r="M8" s="186" t="n">
        <f aca="false">L8+1</f>
        <v>46671</v>
      </c>
      <c r="N8" s="186" t="n">
        <f aca="false">M8+1</f>
        <v>46672</v>
      </c>
      <c r="O8" s="186" t="n">
        <f aca="false">N8+1</f>
        <v>46673</v>
      </c>
      <c r="P8" s="186" t="n">
        <f aca="false">O8+1</f>
        <v>46674</v>
      </c>
      <c r="Q8" s="186" t="n">
        <f aca="false">P8+1</f>
        <v>46675</v>
      </c>
      <c r="R8" s="187" t="n">
        <f aca="false">Q8+1</f>
        <v>46676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46677</v>
      </c>
      <c r="M9" s="186" t="n">
        <f aca="false">L9+1</f>
        <v>46678</v>
      </c>
      <c r="N9" s="186" t="n">
        <f aca="false">M9+1</f>
        <v>46679</v>
      </c>
      <c r="O9" s="186" t="n">
        <f aca="false">N9+1</f>
        <v>46680</v>
      </c>
      <c r="P9" s="186" t="n">
        <f aca="false">O9+1</f>
        <v>46681</v>
      </c>
      <c r="Q9" s="186" t="n">
        <f aca="false">P9+1</f>
        <v>46682</v>
      </c>
      <c r="R9" s="187" t="n">
        <f aca="false">Q9+1</f>
        <v>46683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46684</v>
      </c>
      <c r="M10" s="186" t="n">
        <f aca="false">L10+1</f>
        <v>46685</v>
      </c>
      <c r="N10" s="186" t="n">
        <f aca="false">M10+1</f>
        <v>46686</v>
      </c>
      <c r="O10" s="186" t="n">
        <f aca="false">N10+1</f>
        <v>46687</v>
      </c>
      <c r="P10" s="186" t="n">
        <f aca="false">O10+1</f>
        <v>46688</v>
      </c>
      <c r="Q10" s="186" t="n">
        <f aca="false">P10+1</f>
        <v>46689</v>
      </c>
      <c r="R10" s="187" t="n">
        <f aca="false">Q10+1</f>
        <v>46690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46691</v>
      </c>
      <c r="M11" s="199" t="n">
        <f aca="false">L11+1</f>
        <v>46692</v>
      </c>
      <c r="N11" s="199" t="n">
        <f aca="false">M11+1</f>
        <v>46693</v>
      </c>
      <c r="O11" s="199" t="n">
        <f aca="false">N11+1</f>
        <v>46694</v>
      </c>
      <c r="P11" s="199" t="n">
        <f aca="false">O11+1</f>
        <v>46695</v>
      </c>
      <c r="Q11" s="199" t="n">
        <f aca="false">P11+1</f>
        <v>46696</v>
      </c>
      <c r="R11" s="200" t="n">
        <f aca="false">Q11+1</f>
        <v>46697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D38" s="206"/>
      <c r="E38" s="206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  <row r="161" customFormat="false" ht="22.5" hidden="false" customHeight="true" outlineLevel="0" collapsed="false"/>
    <row r="162" customFormat="false" ht="22.5" hidden="false" customHeight="true" outlineLevel="0" collapsed="false"/>
    <row r="163" customFormat="false" ht="22.5" hidden="false" customHeight="true" outlineLevel="0" collapsed="false"/>
    <row r="164" customFormat="false" ht="22.5" hidden="false" customHeight="true" outlineLevel="0" collapsed="false"/>
    <row r="165" customFormat="false" ht="22.5" hidden="false" customHeight="true" outlineLevel="0" collapsed="false"/>
    <row r="166" customFormat="false" ht="22.5" hidden="false" customHeight="true" outlineLevel="0" collapsed="false"/>
    <row r="167" customFormat="false" ht="22.5" hidden="false" customHeight="true" outlineLevel="0" collapsed="false"/>
    <row r="168" customFormat="false" ht="22.5" hidden="false" customHeight="true" outlineLevel="0" collapsed="false"/>
    <row r="169" customFormat="false" ht="22.5" hidden="false" customHeight="true" outlineLevel="0" collapsed="false"/>
    <row r="170" customFormat="false" ht="22.5" hidden="false" customHeight="true" outlineLevel="0" collapsed="false"/>
    <row r="171" customFormat="false" ht="22.5" hidden="false" customHeight="true" outlineLevel="0" collapsed="false"/>
    <row r="172" customFormat="false" ht="22.5" hidden="false" customHeight="true" outlineLevel="0" collapsed="false"/>
    <row r="173" customFormat="false" ht="22.5" hidden="false" customHeight="true" outlineLevel="0" collapsed="false"/>
    <row r="174" customFormat="false" ht="22.5" hidden="false" customHeight="true" outlineLevel="0" collapsed="false"/>
    <row r="175" customFormat="false" ht="22.5" hidden="false" customHeight="true" outlineLevel="0" collapsed="false"/>
    <row r="176" customFormat="false" ht="22.5" hidden="false" customHeight="true" outlineLevel="0" collapsed="false"/>
    <row r="177" customFormat="false" ht="22.5" hidden="false" customHeight="true" outlineLevel="0" collapsed="false"/>
    <row r="178" customFormat="false" ht="22.5" hidden="false" customHeight="true" outlineLevel="0" collapsed="false"/>
    <row r="179" customFormat="false" ht="22.5" hidden="false" customHeight="true" outlineLevel="0" collapsed="false"/>
    <row r="180" customFormat="false" ht="22.5" hidden="false" customHeight="true" outlineLevel="0" collapsed="false"/>
    <row r="181" customFormat="false" ht="22.5" hidden="false" customHeight="true" outlineLevel="0" collapsed="false"/>
  </sheetData>
  <autoFilter ref="U5:W154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5"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W6:W14" type="list">
      <formula1>"🍙食費,🧴日用品,📋雑費,⛺趣味・娯楽,🍷交際費,👔衣服・美容,🏥健康・医療,🚃交通費,🏠住宅,🔥💡光熱費,💧水道代,📱通信費,📺サブスク,🎓奨学金,📜保険,💳現金・カード,💪自己投資,❔その他"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F18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15.7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11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11</v>
      </c>
      <c r="P3" s="172" t="s">
        <v>204</v>
      </c>
      <c r="Q3" s="173" t="n">
        <f aca="false">DATE(M3,O3,1)</f>
        <v>46692</v>
      </c>
      <c r="T3" s="174" t="s">
        <v>205</v>
      </c>
      <c r="U3" s="174"/>
      <c r="V3" s="174"/>
      <c r="W3" s="174"/>
      <c r="X3" s="174"/>
      <c r="Y3" s="174"/>
      <c r="Z3" s="175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46691</v>
      </c>
      <c r="M6" s="186" t="n">
        <f aca="false">L6+1</f>
        <v>46692</v>
      </c>
      <c r="N6" s="186" t="n">
        <f aca="false">M6+1</f>
        <v>46693</v>
      </c>
      <c r="O6" s="186" t="n">
        <f aca="false">N6+1</f>
        <v>46694</v>
      </c>
      <c r="P6" s="186" t="n">
        <f aca="false">O6+1</f>
        <v>46695</v>
      </c>
      <c r="Q6" s="186" t="n">
        <f aca="false">P6+1</f>
        <v>46696</v>
      </c>
      <c r="R6" s="187" t="n">
        <f aca="false">Q6+1</f>
        <v>46697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  <c r="AF6" s="1"/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46698</v>
      </c>
      <c r="M7" s="186" t="n">
        <f aca="false">L7+1</f>
        <v>46699</v>
      </c>
      <c r="N7" s="186" t="n">
        <f aca="false">M7+1</f>
        <v>46700</v>
      </c>
      <c r="O7" s="186" t="n">
        <f aca="false">N7+1</f>
        <v>46701</v>
      </c>
      <c r="P7" s="186" t="n">
        <f aca="false">O7+1</f>
        <v>46702</v>
      </c>
      <c r="Q7" s="186" t="n">
        <f aca="false">P7+1</f>
        <v>46703</v>
      </c>
      <c r="R7" s="187" t="n">
        <f aca="false">Q7+1</f>
        <v>46704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  <c r="AF7" s="1"/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46705</v>
      </c>
      <c r="M8" s="186" t="n">
        <f aca="false">L8+1</f>
        <v>46706</v>
      </c>
      <c r="N8" s="186" t="n">
        <f aca="false">M8+1</f>
        <v>46707</v>
      </c>
      <c r="O8" s="186" t="n">
        <f aca="false">N8+1</f>
        <v>46708</v>
      </c>
      <c r="P8" s="186" t="n">
        <f aca="false">O8+1</f>
        <v>46709</v>
      </c>
      <c r="Q8" s="186" t="n">
        <f aca="false">P8+1</f>
        <v>46710</v>
      </c>
      <c r="R8" s="187" t="n">
        <f aca="false">Q8+1</f>
        <v>46711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  <c r="AF8" s="1"/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46712</v>
      </c>
      <c r="M9" s="186" t="n">
        <f aca="false">L9+1</f>
        <v>46713</v>
      </c>
      <c r="N9" s="186" t="n">
        <f aca="false">M9+1</f>
        <v>46714</v>
      </c>
      <c r="O9" s="186" t="n">
        <f aca="false">N9+1</f>
        <v>46715</v>
      </c>
      <c r="P9" s="186" t="n">
        <f aca="false">O9+1</f>
        <v>46716</v>
      </c>
      <c r="Q9" s="186" t="n">
        <f aca="false">P9+1</f>
        <v>46717</v>
      </c>
      <c r="R9" s="187" t="n">
        <f aca="false">Q9+1</f>
        <v>46718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  <c r="AF9" s="1"/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46719</v>
      </c>
      <c r="M10" s="186" t="n">
        <f aca="false">L10+1</f>
        <v>46720</v>
      </c>
      <c r="N10" s="186" t="n">
        <f aca="false">M10+1</f>
        <v>46721</v>
      </c>
      <c r="O10" s="186" t="n">
        <f aca="false">N10+1</f>
        <v>46722</v>
      </c>
      <c r="P10" s="186" t="n">
        <f aca="false">O10+1</f>
        <v>46723</v>
      </c>
      <c r="Q10" s="186" t="n">
        <f aca="false">P10+1</f>
        <v>46724</v>
      </c>
      <c r="R10" s="187" t="n">
        <f aca="false">Q10+1</f>
        <v>46725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  <c r="AF10" s="1"/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46726</v>
      </c>
      <c r="M11" s="199" t="n">
        <f aca="false">L11+1</f>
        <v>46727</v>
      </c>
      <c r="N11" s="199" t="n">
        <f aca="false">M11+1</f>
        <v>46728</v>
      </c>
      <c r="O11" s="199" t="n">
        <f aca="false">N11+1</f>
        <v>46729</v>
      </c>
      <c r="P11" s="199" t="n">
        <f aca="false">O11+1</f>
        <v>46730</v>
      </c>
      <c r="Q11" s="199" t="n">
        <f aca="false">P11+1</f>
        <v>46731</v>
      </c>
      <c r="R11" s="200" t="n">
        <f aca="false">Q11+1</f>
        <v>46732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  <c r="AF11" s="1"/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  <c r="AF12" s="1"/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  <c r="AF13" s="1"/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  <c r="AF14" s="1"/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  <c r="AF15" s="1"/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  <c r="AF16" s="1"/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  <c r="AF17" s="1"/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  <c r="AF18" s="1"/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  <c r="AF19" s="1"/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  <c r="AB20" s="1"/>
      <c r="AC20" s="1"/>
      <c r="AD20" s="1"/>
      <c r="AE20" s="1"/>
      <c r="AF20" s="1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  <c r="AB21" s="1"/>
      <c r="AC21" s="1"/>
      <c r="AD21" s="1"/>
      <c r="AE21" s="1"/>
      <c r="AF21" s="1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  <c r="AB22" s="1"/>
      <c r="AC22" s="1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B38" s="175"/>
      <c r="C38" s="53"/>
      <c r="D38" s="53"/>
      <c r="E38" s="53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  <row r="161" customFormat="false" ht="22.5" hidden="false" customHeight="true" outlineLevel="0" collapsed="false"/>
    <row r="162" customFormat="false" ht="22.5" hidden="false" customHeight="true" outlineLevel="0" collapsed="false"/>
    <row r="163" customFormat="false" ht="22.5" hidden="false" customHeight="true" outlineLevel="0" collapsed="false"/>
    <row r="164" customFormat="false" ht="22.5" hidden="false" customHeight="true" outlineLevel="0" collapsed="false"/>
    <row r="165" customFormat="false" ht="22.5" hidden="false" customHeight="true" outlineLevel="0" collapsed="false"/>
    <row r="166" customFormat="false" ht="22.5" hidden="false" customHeight="true" outlineLevel="0" collapsed="false"/>
    <row r="167" customFormat="false" ht="22.5" hidden="false" customHeight="true" outlineLevel="0" collapsed="false"/>
    <row r="168" customFormat="false" ht="22.5" hidden="false" customHeight="true" outlineLevel="0" collapsed="false"/>
    <row r="169" customFormat="false" ht="22.5" hidden="false" customHeight="true" outlineLevel="0" collapsed="false"/>
    <row r="170" customFormat="false" ht="22.5" hidden="false" customHeight="true" outlineLevel="0" collapsed="false"/>
    <row r="171" customFormat="false" ht="22.5" hidden="false" customHeight="true" outlineLevel="0" collapsed="false"/>
    <row r="172" customFormat="false" ht="22.5" hidden="false" customHeight="true" outlineLevel="0" collapsed="false"/>
    <row r="173" customFormat="false" ht="22.5" hidden="false" customHeight="true" outlineLevel="0" collapsed="false"/>
    <row r="174" customFormat="false" ht="22.5" hidden="false" customHeight="true" outlineLevel="0" collapsed="false"/>
    <row r="175" customFormat="false" ht="22.5" hidden="false" customHeight="true" outlineLevel="0" collapsed="false"/>
    <row r="176" customFormat="false" ht="22.5" hidden="false" customHeight="true" outlineLevel="0" collapsed="false"/>
    <row r="177" customFormat="false" ht="22.5" hidden="false" customHeight="true" outlineLevel="0" collapsed="false"/>
    <row r="178" customFormat="false" ht="22.5" hidden="false" customHeight="true" outlineLevel="0" collapsed="false"/>
    <row r="179" customFormat="false" ht="22.5" hidden="false" customHeight="true" outlineLevel="0" collapsed="false"/>
    <row r="180" customFormat="false" ht="22.5" hidden="false" customHeight="true" outlineLevel="0" collapsed="false"/>
    <row r="181" customFormat="false" ht="22.5" hidden="false" customHeight="true" outlineLevel="0" collapsed="false"/>
  </sheetData>
  <autoFilter ref="U5:W154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5"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W6:W14" type="list">
      <formula1>"🍙食費,🧴日用品,📋雑費,⛺趣味・娯楽,🍷交際費,👔衣服・美容,🏥健康・医療,🚃交通費,🏠住宅,🔥💡光熱費,💧水道代,📱通信費,📺サブスク,🎓奨学金,📜保険,💳現金・カード,💪自己投資,❔その他"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E18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B1" activeCellId="0" sqref="B1"/>
    </sheetView>
  </sheetViews>
  <sheetFormatPr defaultColWidth="8.62890625" defaultRowHeight="15.75" zeroHeight="false" outlineLevelRow="0" outlineLevelCol="0"/>
  <cols>
    <col collapsed="false" customWidth="true" hidden="false" outlineLevel="0" max="1" min="1" style="19" width="1.75"/>
    <col collapsed="false" customWidth="true" hidden="false" outlineLevel="0" max="2" min="2" style="19" width="10.63"/>
    <col collapsed="false" customWidth="false" hidden="false" outlineLevel="0" max="3" min="3" style="19" width="8.63"/>
    <col collapsed="false" customWidth="true" hidden="false" outlineLevel="0" max="4" min="4" style="19" width="11.63"/>
    <col collapsed="false" customWidth="true" hidden="false" outlineLevel="0" max="5" min="5" style="19" width="12.63"/>
    <col collapsed="false" customWidth="true" hidden="false" outlineLevel="0" max="6" min="6" style="19" width="1.75"/>
    <col collapsed="false" customWidth="true" hidden="false" outlineLevel="0" max="7" min="7" style="19" width="10.63"/>
    <col collapsed="false" customWidth="false" hidden="false" outlineLevel="0" max="8" min="8" style="19" width="8.63"/>
    <col collapsed="false" customWidth="true" hidden="false" outlineLevel="0" max="9" min="9" style="19" width="11.63"/>
    <col collapsed="false" customWidth="true" hidden="false" outlineLevel="0" max="10" min="10" style="19" width="12.63"/>
    <col collapsed="false" customWidth="true" hidden="false" outlineLevel="0" max="11" min="11" style="19" width="1.75"/>
    <col collapsed="false" customWidth="true" hidden="false" outlineLevel="0" max="18" min="12" style="19" width="13.75"/>
    <col collapsed="false" customWidth="true" hidden="false" outlineLevel="0" max="19" min="19" style="19" width="1.75"/>
    <col collapsed="false" customWidth="true" hidden="false" outlineLevel="0" max="20" min="20" style="19" width="15.38"/>
    <col collapsed="false" customWidth="true" hidden="false" outlineLevel="0" max="22" min="21" style="19" width="13.25"/>
    <col collapsed="false" customWidth="true" hidden="false" outlineLevel="0" max="23" min="23" style="19" width="12.63"/>
    <col collapsed="false" customWidth="true" hidden="false" outlineLevel="0" max="24" min="24" style="19" width="21.88"/>
    <col collapsed="false" customWidth="true" hidden="false" outlineLevel="0" max="25" min="25" style="19" width="26.88"/>
    <col collapsed="false" customWidth="true" hidden="false" outlineLevel="0" max="26" min="26" style="19" width="12.38"/>
    <col collapsed="false" customWidth="true" hidden="false" outlineLevel="0" max="27" min="27" style="29" width="12.63"/>
    <col collapsed="false" customWidth="true" hidden="false" outlineLevel="0" max="28" min="28" style="19" width="12.38"/>
    <col collapsed="false" customWidth="false" hidden="false" outlineLevel="0" max="16384" min="29" style="19" width="8.63"/>
  </cols>
  <sheetData>
    <row r="1" customFormat="false" ht="22.5" hidden="false" customHeight="true" outlineLevel="0" collapsed="false">
      <c r="B1" s="168" t="n">
        <v>12</v>
      </c>
      <c r="C1" s="168"/>
      <c r="E1" s="133" t="s">
        <v>203</v>
      </c>
      <c r="F1" s="133"/>
      <c r="G1" s="133"/>
      <c r="H1" s="133"/>
      <c r="I1" s="133"/>
      <c r="J1" s="133"/>
    </row>
    <row r="2" customFormat="false" ht="22.5" hidden="false" customHeight="true" outlineLevel="0" collapsed="false">
      <c r="B2" s="168"/>
      <c r="C2" s="168"/>
    </row>
    <row r="3" customFormat="false" ht="22.5" hidden="false" customHeight="true" outlineLevel="0" collapsed="false">
      <c r="B3" s="169" t="n">
        <f aca="false">27年1月!B3</f>
        <v>2027</v>
      </c>
      <c r="C3" s="169"/>
      <c r="M3" s="170" t="n">
        <f aca="false">B3</f>
        <v>2027</v>
      </c>
      <c r="N3" s="171" t="s">
        <v>162</v>
      </c>
      <c r="O3" s="171" t="n">
        <f aca="false">B1</f>
        <v>12</v>
      </c>
      <c r="P3" s="172" t="s">
        <v>204</v>
      </c>
      <c r="Q3" s="173" t="n">
        <f aca="false">DATE(M3,O3,1)</f>
        <v>46722</v>
      </c>
      <c r="T3" s="174" t="s">
        <v>205</v>
      </c>
      <c r="U3" s="174"/>
      <c r="V3" s="174"/>
      <c r="W3" s="174"/>
      <c r="X3" s="174"/>
      <c r="Y3" s="174"/>
      <c r="Z3" s="175"/>
      <c r="AD3" s="29"/>
    </row>
    <row r="4" customFormat="false" ht="22.5" hidden="false" customHeight="true" outlineLevel="0" collapsed="false">
      <c r="AB4" s="53" t="s">
        <v>25</v>
      </c>
      <c r="AC4" s="39" t="n">
        <f aca="false">E22</f>
        <v>0</v>
      </c>
      <c r="AD4" s="53" t="s">
        <v>25</v>
      </c>
      <c r="AE4" s="39" t="n">
        <f aca="false">E29</f>
        <v>0</v>
      </c>
    </row>
    <row r="5" customFormat="false" ht="22.5" hidden="false" customHeight="true" outlineLevel="0" collapsed="false">
      <c r="B5" s="106" t="s">
        <v>206</v>
      </c>
      <c r="C5" s="106"/>
      <c r="D5" s="106"/>
      <c r="E5" s="106"/>
      <c r="G5" s="106" t="s">
        <v>17</v>
      </c>
      <c r="H5" s="106"/>
      <c r="I5" s="106"/>
      <c r="J5" s="106"/>
      <c r="L5" s="176" t="s">
        <v>207</v>
      </c>
      <c r="M5" s="177" t="s">
        <v>204</v>
      </c>
      <c r="N5" s="177" t="s">
        <v>208</v>
      </c>
      <c r="O5" s="177" t="s">
        <v>209</v>
      </c>
      <c r="P5" s="177" t="s">
        <v>210</v>
      </c>
      <c r="Q5" s="177" t="s">
        <v>211</v>
      </c>
      <c r="R5" s="178" t="s">
        <v>212</v>
      </c>
      <c r="T5" s="179" t="s">
        <v>2</v>
      </c>
      <c r="U5" s="180" t="s">
        <v>213</v>
      </c>
      <c r="V5" s="180" t="s">
        <v>214</v>
      </c>
      <c r="W5" s="180" t="s">
        <v>107</v>
      </c>
      <c r="X5" s="180" t="s">
        <v>105</v>
      </c>
      <c r="Y5" s="181" t="s">
        <v>69</v>
      </c>
      <c r="Z5" s="53"/>
      <c r="AB5" s="53" t="s">
        <v>31</v>
      </c>
      <c r="AC5" s="39" t="n">
        <f aca="false">E23</f>
        <v>0</v>
      </c>
      <c r="AD5" s="53" t="s">
        <v>31</v>
      </c>
      <c r="AE5" s="39" t="n">
        <f aca="false">E30</f>
        <v>0</v>
      </c>
    </row>
    <row r="6" customFormat="false" ht="22.5" hidden="false" customHeight="true" outlineLevel="0" collapsed="false">
      <c r="B6" s="182" t="s">
        <v>107</v>
      </c>
      <c r="C6" s="182"/>
      <c r="D6" s="183" t="s">
        <v>214</v>
      </c>
      <c r="E6" s="184" t="s">
        <v>105</v>
      </c>
      <c r="G6" s="182" t="s">
        <v>107</v>
      </c>
      <c r="H6" s="182"/>
      <c r="I6" s="183" t="s">
        <v>214</v>
      </c>
      <c r="J6" s="184" t="s">
        <v>105</v>
      </c>
      <c r="L6" s="185" t="n">
        <f aca="false">$Q$3+(1-WEEKDAY($Q$3))</f>
        <v>46719</v>
      </c>
      <c r="M6" s="186" t="n">
        <f aca="false">L6+1</f>
        <v>46720</v>
      </c>
      <c r="N6" s="186" t="n">
        <f aca="false">M6+1</f>
        <v>46721</v>
      </c>
      <c r="O6" s="186" t="n">
        <f aca="false">N6+1</f>
        <v>46722</v>
      </c>
      <c r="P6" s="186" t="n">
        <f aca="false">O6+1</f>
        <v>46723</v>
      </c>
      <c r="Q6" s="186" t="n">
        <f aca="false">P6+1</f>
        <v>46724</v>
      </c>
      <c r="R6" s="187" t="n">
        <f aca="false">Q6+1</f>
        <v>46725</v>
      </c>
      <c r="T6" s="188"/>
      <c r="U6" s="189" t="s">
        <v>215</v>
      </c>
      <c r="V6" s="190" t="s">
        <v>77</v>
      </c>
      <c r="W6" s="190" t="s">
        <v>25</v>
      </c>
      <c r="X6" s="191"/>
      <c r="Y6" s="192"/>
      <c r="AB6" s="53" t="s">
        <v>37</v>
      </c>
      <c r="AC6" s="39" t="n">
        <f aca="false">E24</f>
        <v>0</v>
      </c>
      <c r="AD6" s="53" t="s">
        <v>37</v>
      </c>
      <c r="AE6" s="39" t="n">
        <f aca="false">E31</f>
        <v>0</v>
      </c>
    </row>
    <row r="7" customFormat="false" ht="22.5" hidden="false" customHeight="true" outlineLevel="0" collapsed="false">
      <c r="B7" s="114" t="s">
        <v>23</v>
      </c>
      <c r="C7" s="114"/>
      <c r="D7" s="193" t="s">
        <v>77</v>
      </c>
      <c r="E7" s="194" t="n">
        <v>0</v>
      </c>
      <c r="G7" s="114" t="s">
        <v>24</v>
      </c>
      <c r="H7" s="114"/>
      <c r="I7" s="193" t="s">
        <v>77</v>
      </c>
      <c r="J7" s="194" t="n">
        <v>0</v>
      </c>
      <c r="L7" s="185" t="n">
        <f aca="false">R6+1</f>
        <v>46726</v>
      </c>
      <c r="M7" s="186" t="n">
        <f aca="false">L7+1</f>
        <v>46727</v>
      </c>
      <c r="N7" s="186" t="n">
        <f aca="false">M7+1</f>
        <v>46728</v>
      </c>
      <c r="O7" s="186" t="n">
        <f aca="false">N7+1</f>
        <v>46729</v>
      </c>
      <c r="P7" s="186" t="n">
        <f aca="false">O7+1</f>
        <v>46730</v>
      </c>
      <c r="Q7" s="186" t="n">
        <f aca="false">P7+1</f>
        <v>46731</v>
      </c>
      <c r="R7" s="187" t="n">
        <f aca="false">Q7+1</f>
        <v>46732</v>
      </c>
      <c r="T7" s="188"/>
      <c r="U7" s="189" t="s">
        <v>215</v>
      </c>
      <c r="V7" s="190" t="s">
        <v>77</v>
      </c>
      <c r="W7" s="193" t="s">
        <v>31</v>
      </c>
      <c r="X7" s="195"/>
      <c r="Y7" s="196"/>
      <c r="AB7" s="53" t="s">
        <v>43</v>
      </c>
      <c r="AC7" s="39" t="n">
        <f aca="false">E25</f>
        <v>0</v>
      </c>
      <c r="AD7" s="53" t="s">
        <v>43</v>
      </c>
      <c r="AE7" s="39" t="n">
        <f aca="false">E32</f>
        <v>0</v>
      </c>
    </row>
    <row r="8" customFormat="false" ht="22.5" hidden="false" customHeight="true" outlineLevel="0" collapsed="false">
      <c r="B8" s="114" t="s">
        <v>29</v>
      </c>
      <c r="C8" s="114"/>
      <c r="D8" s="193" t="s">
        <v>77</v>
      </c>
      <c r="E8" s="194" t="n">
        <v>0</v>
      </c>
      <c r="G8" s="197" t="s">
        <v>30</v>
      </c>
      <c r="H8" s="197"/>
      <c r="I8" s="193" t="s">
        <v>77</v>
      </c>
      <c r="J8" s="194" t="n">
        <v>0</v>
      </c>
      <c r="L8" s="185" t="n">
        <f aca="false">R7+1</f>
        <v>46733</v>
      </c>
      <c r="M8" s="186" t="n">
        <f aca="false">L8+1</f>
        <v>46734</v>
      </c>
      <c r="N8" s="186" t="n">
        <f aca="false">M8+1</f>
        <v>46735</v>
      </c>
      <c r="O8" s="186" t="n">
        <f aca="false">N8+1</f>
        <v>46736</v>
      </c>
      <c r="P8" s="186" t="n">
        <f aca="false">O8+1</f>
        <v>46737</v>
      </c>
      <c r="Q8" s="186" t="n">
        <f aca="false">P8+1</f>
        <v>46738</v>
      </c>
      <c r="R8" s="187" t="n">
        <f aca="false">Q8+1</f>
        <v>46739</v>
      </c>
      <c r="T8" s="188"/>
      <c r="U8" s="189" t="s">
        <v>215</v>
      </c>
      <c r="V8" s="190" t="s">
        <v>77</v>
      </c>
      <c r="W8" s="190" t="s">
        <v>37</v>
      </c>
      <c r="X8" s="191"/>
      <c r="Y8" s="196"/>
      <c r="AB8" s="53" t="s">
        <v>48</v>
      </c>
      <c r="AC8" s="39" t="n">
        <f aca="false">E26</f>
        <v>0</v>
      </c>
      <c r="AD8" s="53" t="s">
        <v>48</v>
      </c>
      <c r="AE8" s="39" t="n">
        <f aca="false">E33</f>
        <v>0</v>
      </c>
    </row>
    <row r="9" customFormat="false" ht="22.5" hidden="false" customHeight="true" outlineLevel="0" collapsed="false">
      <c r="B9" s="114" t="s">
        <v>35</v>
      </c>
      <c r="C9" s="114"/>
      <c r="D9" s="193" t="s">
        <v>77</v>
      </c>
      <c r="E9" s="194" t="n">
        <v>0</v>
      </c>
      <c r="G9" s="114" t="s">
        <v>36</v>
      </c>
      <c r="H9" s="114"/>
      <c r="I9" s="193" t="s">
        <v>77</v>
      </c>
      <c r="J9" s="194" t="n">
        <v>0</v>
      </c>
      <c r="L9" s="185" t="n">
        <f aca="false">R8+1</f>
        <v>46740</v>
      </c>
      <c r="M9" s="186" t="n">
        <f aca="false">L9+1</f>
        <v>46741</v>
      </c>
      <c r="N9" s="186" t="n">
        <f aca="false">M9+1</f>
        <v>46742</v>
      </c>
      <c r="O9" s="186" t="n">
        <f aca="false">N9+1</f>
        <v>46743</v>
      </c>
      <c r="P9" s="186" t="n">
        <f aca="false">O9+1</f>
        <v>46744</v>
      </c>
      <c r="Q9" s="186" t="n">
        <f aca="false">P9+1</f>
        <v>46745</v>
      </c>
      <c r="R9" s="187" t="n">
        <f aca="false">Q9+1</f>
        <v>46746</v>
      </c>
      <c r="T9" s="188"/>
      <c r="U9" s="189" t="s">
        <v>215</v>
      </c>
      <c r="V9" s="190" t="s">
        <v>77</v>
      </c>
      <c r="W9" s="193" t="s">
        <v>43</v>
      </c>
      <c r="X9" s="195"/>
      <c r="Y9" s="196"/>
      <c r="AB9" s="53" t="s">
        <v>51</v>
      </c>
      <c r="AC9" s="39" t="n">
        <f aca="false">E27</f>
        <v>0</v>
      </c>
      <c r="AD9" s="53" t="s">
        <v>51</v>
      </c>
      <c r="AE9" s="39" t="n">
        <f aca="false">E34</f>
        <v>0</v>
      </c>
    </row>
    <row r="10" customFormat="false" ht="22.5" hidden="false" customHeight="true" outlineLevel="0" collapsed="false">
      <c r="B10" s="114" t="s">
        <v>41</v>
      </c>
      <c r="C10" s="114"/>
      <c r="D10" s="193" t="s">
        <v>77</v>
      </c>
      <c r="E10" s="194" t="n">
        <v>0</v>
      </c>
      <c r="G10" s="197" t="s">
        <v>42</v>
      </c>
      <c r="H10" s="197"/>
      <c r="I10" s="193" t="s">
        <v>77</v>
      </c>
      <c r="J10" s="194" t="n">
        <v>0</v>
      </c>
      <c r="L10" s="185" t="n">
        <f aca="false">R9+1</f>
        <v>46747</v>
      </c>
      <c r="M10" s="186" t="n">
        <f aca="false">L10+1</f>
        <v>46748</v>
      </c>
      <c r="N10" s="186" t="n">
        <f aca="false">M10+1</f>
        <v>46749</v>
      </c>
      <c r="O10" s="186" t="n">
        <f aca="false">N10+1</f>
        <v>46750</v>
      </c>
      <c r="P10" s="186" t="n">
        <f aca="false">O10+1</f>
        <v>46751</v>
      </c>
      <c r="Q10" s="186" t="n">
        <f aca="false">P10+1</f>
        <v>46752</v>
      </c>
      <c r="R10" s="187" t="n">
        <f aca="false">Q10+1</f>
        <v>46753</v>
      </c>
      <c r="T10" s="188"/>
      <c r="U10" s="189" t="s">
        <v>215</v>
      </c>
      <c r="V10" s="193" t="s">
        <v>88</v>
      </c>
      <c r="W10" s="190" t="s">
        <v>25</v>
      </c>
      <c r="X10" s="195"/>
      <c r="Y10" s="196"/>
      <c r="AB10" s="53" t="s">
        <v>54</v>
      </c>
      <c r="AC10" s="39" t="n">
        <f aca="false">E28</f>
        <v>0</v>
      </c>
      <c r="AD10" s="53" t="s">
        <v>54</v>
      </c>
      <c r="AE10" s="39" t="n">
        <f aca="false">E35</f>
        <v>0</v>
      </c>
    </row>
    <row r="11" customFormat="false" ht="22.5" hidden="false" customHeight="true" outlineLevel="0" collapsed="false">
      <c r="B11" s="114" t="s">
        <v>47</v>
      </c>
      <c r="C11" s="114"/>
      <c r="D11" s="193" t="s">
        <v>77</v>
      </c>
      <c r="E11" s="194" t="n">
        <v>0</v>
      </c>
      <c r="G11" s="114" t="s">
        <v>24</v>
      </c>
      <c r="H11" s="114"/>
      <c r="I11" s="193" t="s">
        <v>88</v>
      </c>
      <c r="J11" s="194" t="n">
        <v>0</v>
      </c>
      <c r="L11" s="198" t="n">
        <f aca="false">R10+1</f>
        <v>46754</v>
      </c>
      <c r="M11" s="199" t="n">
        <f aca="false">L11+1</f>
        <v>46755</v>
      </c>
      <c r="N11" s="199" t="n">
        <f aca="false">M11+1</f>
        <v>46756</v>
      </c>
      <c r="O11" s="199" t="n">
        <f aca="false">N11+1</f>
        <v>46757</v>
      </c>
      <c r="P11" s="199" t="n">
        <f aca="false">O11+1</f>
        <v>46758</v>
      </c>
      <c r="Q11" s="199" t="n">
        <f aca="false">P11+1</f>
        <v>46759</v>
      </c>
      <c r="R11" s="200" t="n">
        <f aca="false">Q11+1</f>
        <v>46760</v>
      </c>
      <c r="T11" s="188"/>
      <c r="U11" s="189" t="s">
        <v>215</v>
      </c>
      <c r="V11" s="193" t="s">
        <v>88</v>
      </c>
      <c r="W11" s="193" t="s">
        <v>31</v>
      </c>
      <c r="X11" s="195"/>
      <c r="Y11" s="196"/>
      <c r="AB11" s="53" t="s">
        <v>26</v>
      </c>
      <c r="AC11" s="39" t="n">
        <f aca="false">J22</f>
        <v>0</v>
      </c>
      <c r="AD11" s="53" t="s">
        <v>26</v>
      </c>
      <c r="AE11" s="39" t="n">
        <f aca="false">J30</f>
        <v>0</v>
      </c>
    </row>
    <row r="12" customFormat="false" ht="22.5" hidden="false" customHeight="true" outlineLevel="0" collapsed="false">
      <c r="B12" s="114" t="s">
        <v>23</v>
      </c>
      <c r="C12" s="114"/>
      <c r="D12" s="193" t="s">
        <v>88</v>
      </c>
      <c r="E12" s="194" t="n">
        <v>0</v>
      </c>
      <c r="G12" s="197" t="s">
        <v>30</v>
      </c>
      <c r="H12" s="197"/>
      <c r="I12" s="193" t="s">
        <v>88</v>
      </c>
      <c r="J12" s="194" t="n">
        <v>0</v>
      </c>
      <c r="T12" s="188"/>
      <c r="U12" s="189" t="s">
        <v>215</v>
      </c>
      <c r="V12" s="193" t="s">
        <v>88</v>
      </c>
      <c r="W12" s="190" t="s">
        <v>37</v>
      </c>
      <c r="X12" s="195"/>
      <c r="Y12" s="196"/>
      <c r="AB12" s="53" t="s">
        <v>32</v>
      </c>
      <c r="AC12" s="39" t="n">
        <f aca="false">J23</f>
        <v>0</v>
      </c>
      <c r="AD12" s="53" t="s">
        <v>32</v>
      </c>
      <c r="AE12" s="39" t="n">
        <f aca="false">J31</f>
        <v>0</v>
      </c>
    </row>
    <row r="13" customFormat="false" ht="22.5" hidden="false" customHeight="true" outlineLevel="0" collapsed="false">
      <c r="B13" s="114" t="s">
        <v>29</v>
      </c>
      <c r="C13" s="114"/>
      <c r="D13" s="193" t="s">
        <v>88</v>
      </c>
      <c r="E13" s="194" t="n">
        <v>0</v>
      </c>
      <c r="G13" s="114" t="s">
        <v>36</v>
      </c>
      <c r="H13" s="114"/>
      <c r="I13" s="193" t="s">
        <v>88</v>
      </c>
      <c r="J13" s="194" t="n">
        <v>0</v>
      </c>
      <c r="L13" s="201" t="s">
        <v>216</v>
      </c>
      <c r="M13" s="201"/>
      <c r="N13" s="201"/>
      <c r="O13" s="201"/>
      <c r="P13" s="201"/>
      <c r="Q13" s="201"/>
      <c r="R13" s="201"/>
      <c r="T13" s="188"/>
      <c r="U13" s="189" t="s">
        <v>215</v>
      </c>
      <c r="V13" s="193" t="s">
        <v>88</v>
      </c>
      <c r="W13" s="193" t="s">
        <v>43</v>
      </c>
      <c r="X13" s="195"/>
      <c r="Y13" s="196"/>
      <c r="AB13" s="53" t="s">
        <v>38</v>
      </c>
      <c r="AC13" s="39" t="n">
        <f aca="false">J24</f>
        <v>0</v>
      </c>
      <c r="AD13" s="53" t="s">
        <v>38</v>
      </c>
      <c r="AE13" s="39" t="n">
        <f aca="false">J32</f>
        <v>0</v>
      </c>
    </row>
    <row r="14" customFormat="false" ht="22.5" hidden="false" customHeight="true" outlineLevel="0" collapsed="false">
      <c r="B14" s="114" t="s">
        <v>35</v>
      </c>
      <c r="C14" s="114"/>
      <c r="D14" s="193" t="s">
        <v>88</v>
      </c>
      <c r="E14" s="194" t="n">
        <v>0</v>
      </c>
      <c r="G14" s="197" t="s">
        <v>42</v>
      </c>
      <c r="H14" s="197"/>
      <c r="I14" s="193" t="s">
        <v>88</v>
      </c>
      <c r="J14" s="194" t="n">
        <v>0</v>
      </c>
      <c r="T14" s="188"/>
      <c r="U14" s="189" t="s">
        <v>215</v>
      </c>
      <c r="V14" s="193" t="s">
        <v>88</v>
      </c>
      <c r="W14" s="193" t="s">
        <v>48</v>
      </c>
      <c r="X14" s="195"/>
      <c r="Y14" s="196"/>
      <c r="AB14" s="53" t="s">
        <v>44</v>
      </c>
      <c r="AC14" s="39" t="n">
        <f aca="false">J25</f>
        <v>0</v>
      </c>
      <c r="AD14" s="53" t="s">
        <v>44</v>
      </c>
      <c r="AE14" s="39" t="n">
        <f aca="false">J33</f>
        <v>0</v>
      </c>
    </row>
    <row r="15" customFormat="false" ht="22.5" hidden="false" customHeight="true" outlineLevel="0" collapsed="false">
      <c r="B15" s="114" t="s">
        <v>41</v>
      </c>
      <c r="C15" s="114"/>
      <c r="D15" s="193" t="s">
        <v>88</v>
      </c>
      <c r="E15" s="194" t="n">
        <v>0</v>
      </c>
      <c r="G15" s="202" t="s">
        <v>217</v>
      </c>
      <c r="H15" s="202"/>
      <c r="I15" s="203"/>
      <c r="J15" s="117" t="n">
        <f aca="false">SUM(J7:J14)</f>
        <v>0</v>
      </c>
      <c r="L15" s="204" t="s">
        <v>218</v>
      </c>
      <c r="M15" s="205" t="s">
        <v>215</v>
      </c>
      <c r="N15" s="205"/>
      <c r="O15" s="205"/>
      <c r="P15" s="205" t="s">
        <v>219</v>
      </c>
      <c r="Q15" s="205"/>
      <c r="R15" s="205"/>
      <c r="T15" s="188"/>
      <c r="U15" s="189"/>
      <c r="V15" s="193"/>
      <c r="W15" s="193"/>
      <c r="X15" s="195"/>
      <c r="Y15" s="196"/>
      <c r="AB15" s="53" t="s">
        <v>49</v>
      </c>
      <c r="AC15" s="39" t="n">
        <f aca="false">J26</f>
        <v>0</v>
      </c>
      <c r="AD15" s="53" t="s">
        <v>49</v>
      </c>
      <c r="AE15" s="39" t="n">
        <f aca="false">J34</f>
        <v>0</v>
      </c>
    </row>
    <row r="16" customFormat="false" ht="22.5" hidden="false" customHeight="true" outlineLevel="0" collapsed="false">
      <c r="B16" s="114" t="s">
        <v>47</v>
      </c>
      <c r="C16" s="114"/>
      <c r="D16" s="193" t="s">
        <v>88</v>
      </c>
      <c r="E16" s="194" t="n">
        <v>0</v>
      </c>
      <c r="G16" s="206"/>
      <c r="H16" s="206"/>
      <c r="J16" s="29"/>
      <c r="L16" s="204"/>
      <c r="M16" s="207" t="s">
        <v>220</v>
      </c>
      <c r="N16" s="207" t="s">
        <v>105</v>
      </c>
      <c r="O16" s="207" t="s">
        <v>221</v>
      </c>
      <c r="P16" s="207" t="s">
        <v>220</v>
      </c>
      <c r="Q16" s="207" t="s">
        <v>105</v>
      </c>
      <c r="R16" s="208" t="s">
        <v>221</v>
      </c>
      <c r="T16" s="209"/>
      <c r="U16" s="189"/>
      <c r="V16" s="193"/>
      <c r="W16" s="193"/>
      <c r="X16" s="195"/>
      <c r="Y16" s="196"/>
      <c r="AB16" s="53" t="s">
        <v>52</v>
      </c>
      <c r="AC16" s="39" t="n">
        <f aca="false">J27</f>
        <v>0</v>
      </c>
      <c r="AD16" s="53" t="s">
        <v>52</v>
      </c>
      <c r="AE16" s="39" t="n">
        <f aca="false">J35</f>
        <v>0</v>
      </c>
    </row>
    <row r="17" customFormat="false" ht="22.5" hidden="false" customHeight="true" outlineLevel="0" collapsed="false">
      <c r="B17" s="202" t="s">
        <v>217</v>
      </c>
      <c r="C17" s="202"/>
      <c r="D17" s="203"/>
      <c r="E17" s="117" t="n">
        <f aca="false">SUM(E7:E16)</f>
        <v>0</v>
      </c>
      <c r="G17" s="206"/>
      <c r="H17" s="206"/>
      <c r="J17" s="29"/>
      <c r="L17" s="210" t="s">
        <v>26</v>
      </c>
      <c r="M17" s="211"/>
      <c r="N17" s="212" t="n">
        <f aca="false">SUMIFS(X6:X160, U6:U160, "1week", W6:W160, "🍙食費")</f>
        <v>0</v>
      </c>
      <c r="O17" s="212" t="n">
        <f aca="false">M17-N17</f>
        <v>0</v>
      </c>
      <c r="P17" s="191"/>
      <c r="Q17" s="212" t="n">
        <f aca="false">SUMIFS(X6:X160, U6:U160, "2week", W6:W160, "🍙食費")</f>
        <v>0</v>
      </c>
      <c r="R17" s="213" t="n">
        <f aca="false">P17-Q17</f>
        <v>0</v>
      </c>
      <c r="T17" s="209"/>
      <c r="U17" s="189"/>
      <c r="V17" s="193"/>
      <c r="W17" s="193"/>
      <c r="X17" s="195"/>
      <c r="Y17" s="196"/>
      <c r="AB17" s="53" t="s">
        <v>55</v>
      </c>
      <c r="AC17" s="39" t="n">
        <f aca="false">J28</f>
        <v>0</v>
      </c>
      <c r="AD17" s="53" t="s">
        <v>55</v>
      </c>
      <c r="AE17" s="39" t="n">
        <f aca="false">J36</f>
        <v>0</v>
      </c>
    </row>
    <row r="18" customFormat="false" ht="22.5" hidden="false" customHeight="true" outlineLevel="0" collapsed="false">
      <c r="B18" s="206"/>
      <c r="C18" s="206"/>
      <c r="E18" s="29"/>
      <c r="L18" s="214" t="s">
        <v>32</v>
      </c>
      <c r="M18" s="215"/>
      <c r="N18" s="216" t="n">
        <f aca="false">SUMIFS(X6:X160, U6:U160, "1week", W6:W160, "🧴日用品")</f>
        <v>0</v>
      </c>
      <c r="O18" s="216" t="n">
        <f aca="false">M18-N18</f>
        <v>0</v>
      </c>
      <c r="P18" s="195"/>
      <c r="Q18" s="216" t="n">
        <f aca="false">SUMIFS(X6:X160, U6:U160, "2week", W6:W160, "🧴日用品")</f>
        <v>0</v>
      </c>
      <c r="R18" s="217" t="n">
        <f aca="false">P18-Q18</f>
        <v>0</v>
      </c>
      <c r="T18" s="209"/>
      <c r="U18" s="189"/>
      <c r="V18" s="193"/>
      <c r="W18" s="193"/>
      <c r="X18" s="195"/>
      <c r="Y18" s="196"/>
      <c r="AB18" s="53" t="s">
        <v>57</v>
      </c>
      <c r="AC18" s="39" t="n">
        <f aca="false">J29</f>
        <v>0</v>
      </c>
      <c r="AD18" s="53" t="s">
        <v>57</v>
      </c>
      <c r="AE18" s="39" t="n">
        <f aca="false">J37</f>
        <v>0</v>
      </c>
    </row>
    <row r="19" customFormat="false" ht="22.5" hidden="false" customHeight="true" outlineLevel="0" collapsed="false">
      <c r="B19" s="218" t="s">
        <v>153</v>
      </c>
      <c r="C19" s="218"/>
      <c r="D19" s="218"/>
      <c r="E19" s="218"/>
      <c r="G19" s="218" t="s">
        <v>153</v>
      </c>
      <c r="H19" s="218"/>
      <c r="I19" s="218"/>
      <c r="J19" s="218"/>
      <c r="L19" s="214" t="s">
        <v>38</v>
      </c>
      <c r="M19" s="215"/>
      <c r="N19" s="216" t="n">
        <f aca="false">SUMIFS(X6:X160, U6:U160, "1week", W6:W160, "📋雑費")</f>
        <v>0</v>
      </c>
      <c r="O19" s="216" t="n">
        <f aca="false">M19-N19</f>
        <v>0</v>
      </c>
      <c r="P19" s="195"/>
      <c r="Q19" s="216" t="n">
        <f aca="false">SUMIFS(X6:X160, U6:U160, "2week", W6:W160, "📋雑費")</f>
        <v>0</v>
      </c>
      <c r="R19" s="217" t="n">
        <f aca="false">P19-Q19</f>
        <v>0</v>
      </c>
      <c r="T19" s="209"/>
      <c r="U19" s="189"/>
      <c r="V19" s="193"/>
      <c r="W19" s="193"/>
      <c r="X19" s="195"/>
      <c r="Y19" s="196"/>
      <c r="AB19" s="53" t="s">
        <v>64</v>
      </c>
      <c r="AC19" s="39" t="n">
        <f aca="false">SUMIFS(X6:X163, V6:V163, "たいよう", W6:W163, "🌾ふるさと納税")+SUMIFS(X6:X163, V6:V163, "両方", W6:W163, "🌾ふるさと納税")/2</f>
        <v>0</v>
      </c>
      <c r="AD19" s="53" t="s">
        <v>64</v>
      </c>
      <c r="AE19" s="39" t="n">
        <f aca="false">SUMIFS(X6:X163, V6:V163, "みらの", W6:W163, "🌾ふるさと納税")+SUMIFS(X6:X163, V6:V163, "両方", W6:W163, "🌾ふるさと納税")/2</f>
        <v>0</v>
      </c>
    </row>
    <row r="20" customFormat="false" ht="22.5" hidden="false" customHeight="true" outlineLevel="0" collapsed="false">
      <c r="B20" s="219" t="s">
        <v>18</v>
      </c>
      <c r="C20" s="219"/>
      <c r="D20" s="219"/>
      <c r="E20" s="219"/>
      <c r="G20" s="219" t="s">
        <v>19</v>
      </c>
      <c r="H20" s="219"/>
      <c r="I20" s="219"/>
      <c r="J20" s="219"/>
      <c r="L20" s="214" t="s">
        <v>44</v>
      </c>
      <c r="M20" s="215"/>
      <c r="N20" s="216" t="n">
        <f aca="false">SUMIFS(X6:X160, U6:U160, "1week", W6:W160, "⛺趣味・娯楽")</f>
        <v>0</v>
      </c>
      <c r="O20" s="216" t="n">
        <f aca="false">M20-N20</f>
        <v>0</v>
      </c>
      <c r="P20" s="195"/>
      <c r="Q20" s="216" t="n">
        <f aca="false">SUMIFS(X6:X160, U6:U160, "2week", W6:W160, "⛺趣味・娯楽")</f>
        <v>0</v>
      </c>
      <c r="R20" s="217" t="n">
        <f aca="false">P20-Q20</f>
        <v>0</v>
      </c>
      <c r="T20" s="209"/>
      <c r="U20" s="189"/>
      <c r="V20" s="193"/>
      <c r="W20" s="193"/>
      <c r="X20" s="195"/>
      <c r="Y20" s="196"/>
      <c r="AB20" s="1"/>
      <c r="AC20" s="1"/>
    </row>
    <row r="21" customFormat="false" ht="22.5" hidden="false" customHeight="true" outlineLevel="0" collapsed="false">
      <c r="B21" s="220" t="s">
        <v>107</v>
      </c>
      <c r="C21" s="220"/>
      <c r="D21" s="221" t="s">
        <v>214</v>
      </c>
      <c r="E21" s="222" t="s">
        <v>105</v>
      </c>
      <c r="G21" s="220" t="s">
        <v>107</v>
      </c>
      <c r="H21" s="220"/>
      <c r="I21" s="221" t="s">
        <v>220</v>
      </c>
      <c r="J21" s="222" t="s">
        <v>105</v>
      </c>
      <c r="L21" s="214" t="s">
        <v>49</v>
      </c>
      <c r="M21" s="215"/>
      <c r="N21" s="216" t="n">
        <f aca="false">SUMIFS(X6:X160, U6:U160, "1week", W6:W160, "🍷交際費")</f>
        <v>0</v>
      </c>
      <c r="O21" s="216" t="n">
        <f aca="false">M21-N21</f>
        <v>0</v>
      </c>
      <c r="P21" s="195"/>
      <c r="Q21" s="216" t="n">
        <f aca="false">SUMIFS(X6:X160, U6:U160, "2week", W6:W160, "🍷交際費")</f>
        <v>0</v>
      </c>
      <c r="R21" s="217" t="n">
        <f aca="false">P21-Q21</f>
        <v>0</v>
      </c>
      <c r="T21" s="209"/>
      <c r="U21" s="189"/>
      <c r="V21" s="193"/>
      <c r="W21" s="193"/>
      <c r="X21" s="195"/>
      <c r="Y21" s="196"/>
    </row>
    <row r="22" customFormat="false" ht="22.5" hidden="false" customHeight="true" outlineLevel="0" collapsed="false">
      <c r="B22" s="114" t="s">
        <v>25</v>
      </c>
      <c r="C22" s="114"/>
      <c r="D22" s="193" t="s">
        <v>77</v>
      </c>
      <c r="E22" s="223" t="n">
        <f aca="false">SUMIFS(X6:X160, V6:V160, "たいよう", W6:W160, "🔥💡光熱費")</f>
        <v>0</v>
      </c>
      <c r="G22" s="114" t="s">
        <v>26</v>
      </c>
      <c r="H22" s="114"/>
      <c r="I22" s="193" t="s">
        <v>77</v>
      </c>
      <c r="J22" s="223" t="n">
        <f aca="false">SUMIFS(X6:X160, V6:V160, "たいよう", W6:W160, "🍙食費")+SUMIFS(X6:X160, V6:V160, "両方", W6:W160, "🍙食費")/2</f>
        <v>0</v>
      </c>
      <c r="L22" s="214" t="s">
        <v>52</v>
      </c>
      <c r="M22" s="215"/>
      <c r="N22" s="216" t="n">
        <f aca="false">SUMIFS(X6:X160, U6:U160, "1week", W6:W160, "👔衣服・美容")</f>
        <v>0</v>
      </c>
      <c r="O22" s="216" t="n">
        <f aca="false">M22-N22</f>
        <v>0</v>
      </c>
      <c r="P22" s="195"/>
      <c r="Q22" s="216" t="n">
        <f aca="false">SUMIFS(X6:X160, U6:U160, "2week", W6:W160, "👔衣服・美容")</f>
        <v>0</v>
      </c>
      <c r="R22" s="217" t="n">
        <f aca="false">P22-Q22</f>
        <v>0</v>
      </c>
      <c r="T22" s="209"/>
      <c r="U22" s="189"/>
      <c r="V22" s="193"/>
      <c r="W22" s="193"/>
      <c r="X22" s="195"/>
      <c r="Y22" s="196"/>
    </row>
    <row r="23" customFormat="false" ht="22.5" hidden="false" customHeight="true" outlineLevel="0" collapsed="false">
      <c r="B23" s="114" t="s">
        <v>31</v>
      </c>
      <c r="C23" s="114"/>
      <c r="D23" s="193" t="s">
        <v>77</v>
      </c>
      <c r="E23" s="223" t="n">
        <f aca="false">SUMIFS(X6:X160, V6:V160, "たいよう", W6:W160, "💧水道代")</f>
        <v>0</v>
      </c>
      <c r="G23" s="114" t="s">
        <v>32</v>
      </c>
      <c r="H23" s="114"/>
      <c r="I23" s="193" t="s">
        <v>77</v>
      </c>
      <c r="J23" s="223" t="n">
        <f aca="false">SUMIFS(X6:X160, V6:V160, "たいよう", W6:W160, "🧴日用品")+SUMIFS(X6:X160, V6:V160, "両方", W6:W160, "🧴日用品")/2</f>
        <v>0</v>
      </c>
      <c r="L23" s="214" t="s">
        <v>55</v>
      </c>
      <c r="M23" s="215"/>
      <c r="N23" s="216" t="n">
        <f aca="false">SUMIFS(X6:X160, U6:U160, "1week", W6:W160, "🏥健康・医療")</f>
        <v>0</v>
      </c>
      <c r="O23" s="216" t="n">
        <f aca="false">M23-N23</f>
        <v>0</v>
      </c>
      <c r="P23" s="195"/>
      <c r="Q23" s="216" t="n">
        <f aca="false">SUMIFS(X6:X160, U6:U160, "2week", W6:W160, "🏥健康・医療")</f>
        <v>0</v>
      </c>
      <c r="R23" s="217" t="n">
        <f aca="false">P23-Q23</f>
        <v>0</v>
      </c>
      <c r="T23" s="209"/>
      <c r="U23" s="189"/>
      <c r="V23" s="193"/>
      <c r="W23" s="193"/>
      <c r="X23" s="195"/>
      <c r="Y23" s="196"/>
    </row>
    <row r="24" customFormat="false" ht="22.5" hidden="false" customHeight="true" outlineLevel="0" collapsed="false">
      <c r="B24" s="114" t="s">
        <v>37</v>
      </c>
      <c r="C24" s="114"/>
      <c r="D24" s="193" t="s">
        <v>77</v>
      </c>
      <c r="E24" s="223" t="n">
        <f aca="false">SUMIFS(X6:X160, V6:V160, "たいよう", W6:W160, "📱通信費")</f>
        <v>0</v>
      </c>
      <c r="G24" s="114" t="s">
        <v>38</v>
      </c>
      <c r="H24" s="114"/>
      <c r="I24" s="193" t="s">
        <v>77</v>
      </c>
      <c r="J24" s="223" t="n">
        <f aca="false">SUMIFS(X6:X160, V6:V160, "たいよう", W6:W160, "📋雑費")+SUMIFS(X6:X160, V6:V160, "両方", W6:W160, "📋雑費")/2</f>
        <v>0</v>
      </c>
      <c r="L24" s="214" t="s">
        <v>57</v>
      </c>
      <c r="M24" s="215"/>
      <c r="N24" s="216" t="n">
        <f aca="false">SUMIFS(X6:X160, U6:U160, "1week", W6:W160, "🚃交通費")</f>
        <v>0</v>
      </c>
      <c r="O24" s="216" t="n">
        <f aca="false">M24-N24</f>
        <v>0</v>
      </c>
      <c r="P24" s="195"/>
      <c r="Q24" s="216" t="n">
        <f aca="false">SUMIFS(X6:X160, U6:U160, "2week", W6:W160, "🚃交通費")</f>
        <v>0</v>
      </c>
      <c r="R24" s="217" t="n">
        <f aca="false">P24-Q24</f>
        <v>0</v>
      </c>
      <c r="T24" s="209"/>
      <c r="U24" s="189"/>
      <c r="V24" s="193"/>
      <c r="W24" s="193"/>
      <c r="X24" s="195"/>
      <c r="Y24" s="196"/>
    </row>
    <row r="25" customFormat="false" ht="22.5" hidden="false" customHeight="true" outlineLevel="0" collapsed="false">
      <c r="B25" s="114" t="s">
        <v>43</v>
      </c>
      <c r="C25" s="114"/>
      <c r="D25" s="193" t="s">
        <v>77</v>
      </c>
      <c r="E25" s="223" t="n">
        <f aca="false">SUMIFS(X6:X160, V6:V160, "たいよう", W6:W160, "📺サブスク")</f>
        <v>0</v>
      </c>
      <c r="G25" s="114" t="s">
        <v>44</v>
      </c>
      <c r="H25" s="114"/>
      <c r="I25" s="193" t="s">
        <v>77</v>
      </c>
      <c r="J25" s="223" t="n">
        <f aca="false">SUMIFS(X6:X160, V6:V160, "たいよう", W6:W160, "⛺趣味・娯楽")+SUMIFS(X6:X160, V6:V160, "両方", W6:W160, "⛺趣味・娯楽")/2</f>
        <v>0</v>
      </c>
      <c r="L25" s="224" t="s">
        <v>222</v>
      </c>
      <c r="M25" s="225" t="n">
        <f aca="false">SUM(M17:M24)</f>
        <v>0</v>
      </c>
      <c r="N25" s="225" t="n">
        <f aca="false">SUM(N17:N24)</f>
        <v>0</v>
      </c>
      <c r="O25" s="225" t="n">
        <f aca="false">SUM(O17:O24)</f>
        <v>0</v>
      </c>
      <c r="P25" s="225" t="n">
        <f aca="false">SUM(P17:P24)</f>
        <v>0</v>
      </c>
      <c r="Q25" s="225" t="n">
        <f aca="false">SUM(Q17:Q24)</f>
        <v>0</v>
      </c>
      <c r="R25" s="117" t="n">
        <f aca="false">SUM(R17:R24)</f>
        <v>0</v>
      </c>
      <c r="T25" s="209"/>
      <c r="U25" s="226"/>
      <c r="V25" s="193"/>
      <c r="W25" s="193"/>
      <c r="X25" s="195"/>
      <c r="Y25" s="196"/>
    </row>
    <row r="26" customFormat="false" ht="22.5" hidden="false" customHeight="true" outlineLevel="0" collapsed="false">
      <c r="B26" s="114" t="s">
        <v>48</v>
      </c>
      <c r="C26" s="114"/>
      <c r="D26" s="193" t="s">
        <v>77</v>
      </c>
      <c r="E26" s="223" t="n">
        <f aca="false">SUMIFS(X6:X162, V6:V162, "たいよう", W6:W162, "🎓奨学金")</f>
        <v>0</v>
      </c>
      <c r="G26" s="114" t="s">
        <v>49</v>
      </c>
      <c r="H26" s="114"/>
      <c r="I26" s="193" t="s">
        <v>77</v>
      </c>
      <c r="J26" s="223" t="n">
        <f aca="false">SUMIFS(X6:X160, V6:V160, "たいよう", W6:W160, "🍷交際費")+SUMIFS(X6:X160, V6:V160, "両方", W6:W160, "🍷交際費")/2</f>
        <v>0</v>
      </c>
      <c r="T26" s="209"/>
      <c r="U26" s="226"/>
      <c r="V26" s="193"/>
      <c r="W26" s="193"/>
      <c r="X26" s="195"/>
      <c r="Y26" s="196"/>
    </row>
    <row r="27" customFormat="false" ht="22.5" hidden="false" customHeight="true" outlineLevel="0" collapsed="false">
      <c r="B27" s="114" t="s">
        <v>51</v>
      </c>
      <c r="C27" s="114"/>
      <c r="D27" s="193" t="s">
        <v>77</v>
      </c>
      <c r="E27" s="223" t="n">
        <f aca="false">SUMIFS(X6:X160, V6:V160, "たいよう", W6:W160, "_x005F_xDCDC_📜保険")</f>
        <v>0</v>
      </c>
      <c r="G27" s="114" t="s">
        <v>52</v>
      </c>
      <c r="H27" s="114"/>
      <c r="I27" s="193" t="s">
        <v>77</v>
      </c>
      <c r="J27" s="223" t="n">
        <f aca="false">SUMIFS(X6:X160, V6:V160, "たいよう", W6:W160, "👔衣服・美容")+SUMIFS(X6:X160, V6:V160, "両方", W6:W160, "👔衣服・美容")/2</f>
        <v>0</v>
      </c>
      <c r="L27" s="227" t="s">
        <v>218</v>
      </c>
      <c r="M27" s="205" t="s">
        <v>223</v>
      </c>
      <c r="N27" s="205"/>
      <c r="O27" s="205"/>
      <c r="P27" s="205" t="s">
        <v>224</v>
      </c>
      <c r="Q27" s="205"/>
      <c r="R27" s="205"/>
      <c r="T27" s="209"/>
      <c r="U27" s="226"/>
      <c r="V27" s="193"/>
      <c r="W27" s="193"/>
      <c r="X27" s="195"/>
      <c r="Y27" s="196"/>
    </row>
    <row r="28" customFormat="false" ht="22.5" hidden="false" customHeight="true" outlineLevel="0" collapsed="false">
      <c r="B28" s="114" t="s">
        <v>54</v>
      </c>
      <c r="C28" s="114"/>
      <c r="D28" s="193" t="s">
        <v>77</v>
      </c>
      <c r="E28" s="223" t="n">
        <f aca="false">SUMIFS(X6:X163, V6:V163, "両方", W6:W163, "🏠住宅")/2</f>
        <v>0</v>
      </c>
      <c r="G28" s="114" t="s">
        <v>55</v>
      </c>
      <c r="H28" s="114"/>
      <c r="I28" s="193" t="s">
        <v>77</v>
      </c>
      <c r="J28" s="223" t="n">
        <f aca="false">SUMIFS(X6:X160, V6:V160, "たいよう", W6:W160, "🏥健康・医療")+SUMIFS(X6:X160, V6:V160, "両方", W6:W160, "🏥健康・医療")/2</f>
        <v>0</v>
      </c>
      <c r="L28" s="227"/>
      <c r="M28" s="207" t="s">
        <v>220</v>
      </c>
      <c r="N28" s="207" t="s">
        <v>105</v>
      </c>
      <c r="O28" s="207" t="s">
        <v>221</v>
      </c>
      <c r="P28" s="207" t="s">
        <v>220</v>
      </c>
      <c r="Q28" s="207" t="s">
        <v>105</v>
      </c>
      <c r="R28" s="208" t="s">
        <v>221</v>
      </c>
      <c r="T28" s="209"/>
      <c r="U28" s="226"/>
      <c r="V28" s="193"/>
      <c r="W28" s="193"/>
      <c r="X28" s="195"/>
      <c r="Y28" s="196"/>
    </row>
    <row r="29" customFormat="false" ht="22.5" hidden="false" customHeight="true" outlineLevel="0" collapsed="false">
      <c r="B29" s="114" t="s">
        <v>25</v>
      </c>
      <c r="C29" s="114"/>
      <c r="D29" s="193" t="s">
        <v>88</v>
      </c>
      <c r="E29" s="223" t="n">
        <f aca="false">SUMIFS(X6:X162, V6:V162, "みらの", W6:W162, "🔥💡光熱費")</f>
        <v>0</v>
      </c>
      <c r="G29" s="114" t="s">
        <v>57</v>
      </c>
      <c r="H29" s="114"/>
      <c r="I29" s="193" t="s">
        <v>77</v>
      </c>
      <c r="J29" s="223" t="n">
        <f aca="false">SUMIFS(X6:X160, V6:V160, "たいよう", W6:W160, "🚃交通費")+SUMIFS(X6:X160, V6:V160, "両方", W6:W160, "🚃交通費")/2</f>
        <v>0</v>
      </c>
      <c r="L29" s="210" t="s">
        <v>26</v>
      </c>
      <c r="M29" s="191"/>
      <c r="N29" s="212" t="n">
        <f aca="false">SUMIFS(X6:X160, U6:U160, "3week", W6:W160, "🍙食費")</f>
        <v>0</v>
      </c>
      <c r="O29" s="212" t="n">
        <f aca="false">M29-N29</f>
        <v>0</v>
      </c>
      <c r="P29" s="191"/>
      <c r="Q29" s="212" t="n">
        <f aca="false">SUMIFS(X6:X160, U6:U160, "4week", W6:W160, "🍙食費")</f>
        <v>0</v>
      </c>
      <c r="R29" s="213" t="n">
        <f aca="false">P29-Q29</f>
        <v>0</v>
      </c>
      <c r="T29" s="209"/>
      <c r="U29" s="226"/>
      <c r="V29" s="193"/>
      <c r="W29" s="193"/>
      <c r="X29" s="195"/>
      <c r="Y29" s="196"/>
    </row>
    <row r="30" customFormat="false" ht="22.5" hidden="false" customHeight="true" outlineLevel="0" collapsed="false">
      <c r="B30" s="114" t="s">
        <v>31</v>
      </c>
      <c r="C30" s="114"/>
      <c r="D30" s="193" t="s">
        <v>88</v>
      </c>
      <c r="E30" s="223" t="n">
        <f aca="false">SUMIFS(X6:X162, V6:V162, "みらの", W6:W162, "💧水道代")</f>
        <v>0</v>
      </c>
      <c r="G30" s="114" t="s">
        <v>26</v>
      </c>
      <c r="H30" s="114"/>
      <c r="I30" s="193" t="s">
        <v>88</v>
      </c>
      <c r="J30" s="223" t="n">
        <f aca="false">SUMIFS(X6:X160, V6:V160, "みらの", W6:W160, "🍙食費")+SUMIFS(X6:X160, V6:V160, "両方", W6:W160, "🍙食費")/2</f>
        <v>0</v>
      </c>
      <c r="L30" s="214" t="s">
        <v>32</v>
      </c>
      <c r="M30" s="195"/>
      <c r="N30" s="216" t="n">
        <f aca="false">SUMIFS(X6:X160, U6:U160, "3week", W6:W160, "🧴日用品")</f>
        <v>0</v>
      </c>
      <c r="O30" s="212" t="n">
        <f aca="false">M30-N30</f>
        <v>0</v>
      </c>
      <c r="P30" s="195"/>
      <c r="Q30" s="216" t="n">
        <f aca="false">SUMIFS(X6:X160, U6:U160, "4week", W6:W160, "🧴日用品")</f>
        <v>0</v>
      </c>
      <c r="R30" s="213" t="n">
        <f aca="false">P30-Q30</f>
        <v>0</v>
      </c>
      <c r="T30" s="209"/>
      <c r="U30" s="226"/>
      <c r="V30" s="193"/>
      <c r="W30" s="193"/>
      <c r="X30" s="195"/>
      <c r="Y30" s="196"/>
    </row>
    <row r="31" customFormat="false" ht="22.5" hidden="false" customHeight="true" outlineLevel="0" collapsed="false">
      <c r="B31" s="114" t="s">
        <v>37</v>
      </c>
      <c r="C31" s="114"/>
      <c r="D31" s="193" t="s">
        <v>88</v>
      </c>
      <c r="E31" s="223" t="n">
        <f aca="false">SUMIFS(X6:X162, V6:V162, "みらの", W6:W162, "📱通信費")</f>
        <v>0</v>
      </c>
      <c r="G31" s="114" t="s">
        <v>32</v>
      </c>
      <c r="H31" s="114"/>
      <c r="I31" s="193" t="s">
        <v>88</v>
      </c>
      <c r="J31" s="223" t="n">
        <f aca="false">SUMIFS(X6:X160, V6:V160, "みらの", W6:W160, "🧴日用品")+SUMIFS(X6:X160, V6:V160, "両方", W6:W160, "🧴日用品")/2</f>
        <v>0</v>
      </c>
      <c r="L31" s="214" t="s">
        <v>38</v>
      </c>
      <c r="M31" s="195"/>
      <c r="N31" s="216" t="n">
        <f aca="false">SUMIFS(X6:X160, U6:U160, "3week", W6:W160, "📋雑費")</f>
        <v>0</v>
      </c>
      <c r="O31" s="212" t="n">
        <f aca="false">M31-N31</f>
        <v>0</v>
      </c>
      <c r="P31" s="195"/>
      <c r="Q31" s="216" t="n">
        <f aca="false">SUMIFS(X6:X160, U6:U160, "4week", W6:W160, "📋雑費")</f>
        <v>0</v>
      </c>
      <c r="R31" s="213" t="n">
        <f aca="false">P31-Q31</f>
        <v>0</v>
      </c>
      <c r="T31" s="209"/>
      <c r="U31" s="226"/>
      <c r="V31" s="193"/>
      <c r="W31" s="193"/>
      <c r="X31" s="195"/>
      <c r="Y31" s="196"/>
    </row>
    <row r="32" customFormat="false" ht="22.5" hidden="false" customHeight="true" outlineLevel="0" collapsed="false">
      <c r="B32" s="114" t="s">
        <v>43</v>
      </c>
      <c r="C32" s="114"/>
      <c r="D32" s="193" t="s">
        <v>88</v>
      </c>
      <c r="E32" s="223" t="n">
        <f aca="false">SUMIFS(X6:X162, V6:V162, "みらの", W6:W162, "📺サブスク")</f>
        <v>0</v>
      </c>
      <c r="G32" s="114" t="s">
        <v>38</v>
      </c>
      <c r="H32" s="114"/>
      <c r="I32" s="193" t="s">
        <v>88</v>
      </c>
      <c r="J32" s="223" t="n">
        <f aca="false">SUMIFS(X6:X160, V6:V160, "みらの", W6:W160, "📋雑費")+SUMIFS(X6:X160, V6:V160, "両方", W6:W160, "📋雑費")/2</f>
        <v>0</v>
      </c>
      <c r="L32" s="214" t="s">
        <v>44</v>
      </c>
      <c r="M32" s="195"/>
      <c r="N32" s="216" t="n">
        <f aca="false">SUMIFS(X6:X160, U6:U160, "3week", W6:W160, "⛺趣味・娯楽")</f>
        <v>0</v>
      </c>
      <c r="O32" s="212" t="n">
        <f aca="false">M32-N32</f>
        <v>0</v>
      </c>
      <c r="P32" s="195"/>
      <c r="Q32" s="216" t="n">
        <f aca="false">SUMIFS(X6:X160, U6:U160, "4week", W6:W160, "⛺趣味・娯楽")</f>
        <v>0</v>
      </c>
      <c r="R32" s="213" t="n">
        <f aca="false">P32-Q32</f>
        <v>0</v>
      </c>
      <c r="T32" s="209"/>
      <c r="U32" s="226"/>
      <c r="V32" s="193"/>
      <c r="W32" s="193"/>
      <c r="X32" s="195"/>
      <c r="Y32" s="196"/>
    </row>
    <row r="33" customFormat="false" ht="22.5" hidden="false" customHeight="true" outlineLevel="0" collapsed="false">
      <c r="B33" s="114" t="s">
        <v>48</v>
      </c>
      <c r="C33" s="114"/>
      <c r="D33" s="193" t="s">
        <v>88</v>
      </c>
      <c r="E33" s="223" t="n">
        <f aca="false">SUMIFS(X6:X162, V6:V162, "みらの", W6:W162, "🎓奨学金")</f>
        <v>0</v>
      </c>
      <c r="G33" s="114" t="s">
        <v>44</v>
      </c>
      <c r="H33" s="114"/>
      <c r="I33" s="193" t="s">
        <v>88</v>
      </c>
      <c r="J33" s="223" t="n">
        <f aca="false">SUMIFS(X6:X160, V6:V160, "みらの", W6:W160, "⛺趣味・娯楽")+SUMIFS(X6:X160, V6:V160, "両方", W6:W160, "⛺趣味・娯楽")/2</f>
        <v>0</v>
      </c>
      <c r="L33" s="214" t="s">
        <v>49</v>
      </c>
      <c r="M33" s="195"/>
      <c r="N33" s="216" t="n">
        <f aca="false">SUMIFS(X6:X160, U6:U160, "3week", W6:W160, "🍷交際費")</f>
        <v>0</v>
      </c>
      <c r="O33" s="212" t="n">
        <f aca="false">M33-N33</f>
        <v>0</v>
      </c>
      <c r="P33" s="195"/>
      <c r="Q33" s="216" t="n">
        <f aca="false">SUMIFS(X6:X160, U6:U160, "4week", W6:W160, "🍷交際費")</f>
        <v>0</v>
      </c>
      <c r="R33" s="213" t="n">
        <f aca="false">P33-Q33</f>
        <v>0</v>
      </c>
      <c r="T33" s="209"/>
      <c r="U33" s="226"/>
      <c r="V33" s="193"/>
      <c r="W33" s="193"/>
      <c r="X33" s="195"/>
      <c r="Y33" s="196"/>
    </row>
    <row r="34" customFormat="false" ht="22.5" hidden="false" customHeight="true" outlineLevel="0" collapsed="false">
      <c r="B34" s="114" t="s">
        <v>51</v>
      </c>
      <c r="C34" s="114"/>
      <c r="D34" s="193" t="s">
        <v>88</v>
      </c>
      <c r="E34" s="223" t="n">
        <f aca="false">SUMIFS(X6:X163, V6:V163, "みらの", W6:W163, "📜保険")</f>
        <v>0</v>
      </c>
      <c r="G34" s="114" t="s">
        <v>49</v>
      </c>
      <c r="H34" s="114"/>
      <c r="I34" s="193" t="s">
        <v>88</v>
      </c>
      <c r="J34" s="223" t="n">
        <f aca="false">SUMIFS(X6:X160, V6:V160, "みらの", W6:W160, "🍷交際費")+SUMIFS(X6:X160, V6:V160, "両方", W6:W160, "🍷交際費")/2</f>
        <v>0</v>
      </c>
      <c r="L34" s="214" t="s">
        <v>52</v>
      </c>
      <c r="M34" s="195"/>
      <c r="N34" s="216" t="n">
        <f aca="false">SUMIFS(X6:X160, U6:U160, "3week", W6:W160, "👔衣服・美容")</f>
        <v>0</v>
      </c>
      <c r="O34" s="212" t="n">
        <f aca="false">M34-N34</f>
        <v>0</v>
      </c>
      <c r="P34" s="195"/>
      <c r="Q34" s="216" t="n">
        <f aca="false">SUMIFS(X6:X160, U6:U160, "4week", W6:W160, "👔衣服・美容")</f>
        <v>0</v>
      </c>
      <c r="R34" s="213" t="n">
        <f aca="false">P34-Q34</f>
        <v>0</v>
      </c>
      <c r="T34" s="209"/>
      <c r="U34" s="226"/>
      <c r="V34" s="193"/>
      <c r="W34" s="193"/>
      <c r="X34" s="195"/>
      <c r="Y34" s="196"/>
    </row>
    <row r="35" customFormat="false" ht="22.5" hidden="false" customHeight="true" outlineLevel="0" collapsed="false">
      <c r="B35" s="114" t="s">
        <v>54</v>
      </c>
      <c r="C35" s="114"/>
      <c r="D35" s="193" t="s">
        <v>88</v>
      </c>
      <c r="E35" s="223" t="n">
        <f aca="false">SUMIFS(X6:X163, V6:V163, "両方", W6:W163, "🏠住宅")/2</f>
        <v>0</v>
      </c>
      <c r="G35" s="114" t="s">
        <v>52</v>
      </c>
      <c r="H35" s="114"/>
      <c r="I35" s="193" t="s">
        <v>88</v>
      </c>
      <c r="J35" s="223" t="n">
        <f aca="false">SUMIFS(X6:X160, V6:V160, "みらの", W6:W160, "👔衣服・美容")+SUMIFS(X6:X160, V6:V160, "両方", W6:W160, "👔衣服・美容")/2</f>
        <v>0</v>
      </c>
      <c r="L35" s="214" t="s">
        <v>55</v>
      </c>
      <c r="M35" s="195"/>
      <c r="N35" s="216" t="n">
        <f aca="false">SUMIFS(X6:X160, U6:U160, "3week", W6:W160, "🏥健康・医療")</f>
        <v>0</v>
      </c>
      <c r="O35" s="212" t="n">
        <f aca="false">M35-N35</f>
        <v>0</v>
      </c>
      <c r="P35" s="195"/>
      <c r="Q35" s="216" t="n">
        <f aca="false">SUMIFS(X6:X160, U6:U160, "4week", W6:W160, "🏥健康・医療")</f>
        <v>0</v>
      </c>
      <c r="R35" s="213" t="n">
        <f aca="false">P35-Q35</f>
        <v>0</v>
      </c>
      <c r="T35" s="209"/>
      <c r="U35" s="226"/>
      <c r="V35" s="193"/>
      <c r="W35" s="193"/>
      <c r="X35" s="195"/>
      <c r="Y35" s="196"/>
    </row>
    <row r="36" customFormat="false" ht="22.5" hidden="false" customHeight="true" outlineLevel="0" collapsed="false">
      <c r="B36" s="202" t="s">
        <v>217</v>
      </c>
      <c r="C36" s="202"/>
      <c r="D36" s="203"/>
      <c r="E36" s="117" t="n">
        <f aca="false">SUM(E22:E35)</f>
        <v>0</v>
      </c>
      <c r="G36" s="114" t="s">
        <v>55</v>
      </c>
      <c r="H36" s="114"/>
      <c r="I36" s="193" t="s">
        <v>88</v>
      </c>
      <c r="J36" s="223" t="n">
        <f aca="false">SUMIFS(X6:X160, V6:V160, "みらの", W6:W160, "🏥健康・医療")+SUMIFS(X6:X160, V6:V160, "両方", W6:W160, "🏥健康・医療")/2</f>
        <v>0</v>
      </c>
      <c r="L36" s="214" t="s">
        <v>57</v>
      </c>
      <c r="M36" s="195"/>
      <c r="N36" s="216" t="n">
        <f aca="false">SUMIFS(X6:X160, U6:U160, "3week", W6:W160, "🚃交通費")</f>
        <v>0</v>
      </c>
      <c r="O36" s="212" t="n">
        <f aca="false">M36-N36</f>
        <v>0</v>
      </c>
      <c r="P36" s="195"/>
      <c r="Q36" s="216" t="n">
        <f aca="false">SUMIFS(X6:X160, U6:U160, "4week", W6:W160, "🚃交通費")</f>
        <v>0</v>
      </c>
      <c r="R36" s="213" t="n">
        <f aca="false">P36-Q36</f>
        <v>0</v>
      </c>
      <c r="T36" s="209"/>
      <c r="U36" s="226"/>
      <c r="V36" s="193"/>
      <c r="W36" s="193"/>
      <c r="X36" s="195"/>
      <c r="Y36" s="196"/>
    </row>
    <row r="37" customFormat="false" ht="22.5" hidden="false" customHeight="true" outlineLevel="0" collapsed="false">
      <c r="G37" s="114" t="s">
        <v>57</v>
      </c>
      <c r="H37" s="114"/>
      <c r="I37" s="193" t="s">
        <v>88</v>
      </c>
      <c r="J37" s="223" t="n">
        <f aca="false">SUMIFS(X6:X160, V6:V160, "みらの", W6:W160, "🚃交通費")+SUMIFS(X6:X160, V6:V160, "両方", W6:W160, "🚃交通費")/2</f>
        <v>0</v>
      </c>
      <c r="L37" s="224" t="s">
        <v>222</v>
      </c>
      <c r="M37" s="225" t="n">
        <f aca="false">SUM(M29:M36)</f>
        <v>0</v>
      </c>
      <c r="N37" s="225" t="n">
        <f aca="false">SUM(N29:N36)</f>
        <v>0</v>
      </c>
      <c r="O37" s="225" t="n">
        <f aca="false">SUM(O29:O36)</f>
        <v>0</v>
      </c>
      <c r="P37" s="225" t="n">
        <f aca="false">SUM(P29:P36)</f>
        <v>0</v>
      </c>
      <c r="Q37" s="225" t="n">
        <f aca="false">SUM(Q29:Q36)</f>
        <v>0</v>
      </c>
      <c r="R37" s="225" t="n">
        <f aca="false">SUM(R29:R36)</f>
        <v>0</v>
      </c>
      <c r="T37" s="209"/>
      <c r="U37" s="226"/>
      <c r="V37" s="193"/>
      <c r="W37" s="193"/>
      <c r="X37" s="195"/>
      <c r="Y37" s="196"/>
    </row>
    <row r="38" customFormat="false" ht="22.5" hidden="false" customHeight="true" outlineLevel="0" collapsed="false">
      <c r="B38" s="175"/>
      <c r="C38" s="53"/>
      <c r="D38" s="53"/>
      <c r="E38" s="53"/>
      <c r="G38" s="202" t="s">
        <v>217</v>
      </c>
      <c r="H38" s="202"/>
      <c r="I38" s="225" t="n">
        <f aca="false">SUM(I22:I37)</f>
        <v>0</v>
      </c>
      <c r="J38" s="117" t="n">
        <f aca="false">SUM(J22:J37)</f>
        <v>0</v>
      </c>
      <c r="T38" s="209"/>
      <c r="U38" s="226"/>
      <c r="V38" s="193"/>
      <c r="W38" s="193"/>
      <c r="X38" s="195"/>
      <c r="Y38" s="196"/>
    </row>
    <row r="39" customFormat="false" ht="22.5" hidden="false" customHeight="true" outlineLevel="0" collapsed="false">
      <c r="E39" s="29"/>
      <c r="L39" s="227" t="s">
        <v>218</v>
      </c>
      <c r="M39" s="205" t="s">
        <v>225</v>
      </c>
      <c r="N39" s="205"/>
      <c r="O39" s="205"/>
      <c r="P39" s="228" t="s">
        <v>222</v>
      </c>
      <c r="Q39" s="228"/>
      <c r="R39" s="228"/>
      <c r="T39" s="209"/>
      <c r="U39" s="226"/>
      <c r="V39" s="193"/>
      <c r="W39" s="193"/>
      <c r="X39" s="195"/>
      <c r="Y39" s="196"/>
    </row>
    <row r="40" customFormat="false" ht="22.5" hidden="false" customHeight="true" outlineLevel="0" collapsed="false">
      <c r="B40" s="106" t="s">
        <v>226</v>
      </c>
      <c r="C40" s="106"/>
      <c r="D40" s="106"/>
      <c r="E40" s="107" t="s">
        <v>105</v>
      </c>
      <c r="G40" s="106" t="s">
        <v>227</v>
      </c>
      <c r="H40" s="106"/>
      <c r="I40" s="106"/>
      <c r="J40" s="107" t="s">
        <v>105</v>
      </c>
      <c r="L40" s="227"/>
      <c r="M40" s="207" t="s">
        <v>220</v>
      </c>
      <c r="N40" s="207" t="s">
        <v>105</v>
      </c>
      <c r="O40" s="207" t="s">
        <v>221</v>
      </c>
      <c r="P40" s="207" t="s">
        <v>220</v>
      </c>
      <c r="Q40" s="207" t="s">
        <v>105</v>
      </c>
      <c r="R40" s="208" t="s">
        <v>221</v>
      </c>
      <c r="T40" s="209"/>
      <c r="U40" s="226"/>
      <c r="V40" s="193"/>
      <c r="W40" s="193"/>
      <c r="X40" s="195"/>
      <c r="Y40" s="196"/>
    </row>
    <row r="41" customFormat="false" ht="22.5" hidden="false" customHeight="true" outlineLevel="0" collapsed="false">
      <c r="B41" s="110" t="s">
        <v>108</v>
      </c>
      <c r="C41" s="110"/>
      <c r="D41" s="110"/>
      <c r="E41" s="111" t="n">
        <f aca="false">SUMIF(D7:D16,"たいよう",E7:E16)</f>
        <v>0</v>
      </c>
      <c r="G41" s="110" t="s">
        <v>108</v>
      </c>
      <c r="H41" s="110"/>
      <c r="I41" s="110"/>
      <c r="J41" s="111" t="n">
        <f aca="false">SUMIF(D7:D16,"みらの",E7:E16)</f>
        <v>0</v>
      </c>
      <c r="L41" s="210" t="s">
        <v>26</v>
      </c>
      <c r="M41" s="191"/>
      <c r="N41" s="212" t="n">
        <f aca="false">SUMIFS(X6:X160, U6:U160, "5week", W6:W160, "🍙食費")</f>
        <v>0</v>
      </c>
      <c r="O41" s="212" t="n">
        <f aca="false">M41-N41</f>
        <v>0</v>
      </c>
      <c r="P41" s="229" t="n">
        <f aca="false">M17+P17+M29+P29+M41</f>
        <v>0</v>
      </c>
      <c r="Q41" s="212" t="n">
        <f aca="false">N17+Q17+N29+Q29+N41</f>
        <v>0</v>
      </c>
      <c r="R41" s="213" t="n">
        <f aca="false">P41-Q41</f>
        <v>0</v>
      </c>
      <c r="T41" s="209"/>
      <c r="U41" s="226"/>
      <c r="V41" s="193"/>
      <c r="W41" s="193"/>
      <c r="X41" s="195"/>
      <c r="Y41" s="196"/>
    </row>
    <row r="42" customFormat="false" ht="22.5" hidden="false" customHeight="true" outlineLevel="0" collapsed="false">
      <c r="B42" s="114" t="s">
        <v>111</v>
      </c>
      <c r="C42" s="114"/>
      <c r="D42" s="114"/>
      <c r="E42" s="115" t="n">
        <f aca="false">SUMIF(I7:I14,"たいよう",J7:J14)</f>
        <v>0</v>
      </c>
      <c r="G42" s="114" t="s">
        <v>111</v>
      </c>
      <c r="H42" s="114"/>
      <c r="I42" s="114"/>
      <c r="J42" s="115" t="n">
        <f aca="false">SUMIF(I7:I14,"みらの",J7:J14)</f>
        <v>0</v>
      </c>
      <c r="L42" s="214" t="s">
        <v>32</v>
      </c>
      <c r="M42" s="195"/>
      <c r="N42" s="216" t="n">
        <f aca="false">SUMIFS(X6:X160, U6:U160, "5week", W6:W160, "🧴日用品")</f>
        <v>0</v>
      </c>
      <c r="O42" s="212" t="n">
        <f aca="false">M42-N42</f>
        <v>0</v>
      </c>
      <c r="P42" s="229" t="n">
        <f aca="false">M18+P18+M30+P30+M42</f>
        <v>0</v>
      </c>
      <c r="Q42" s="212" t="n">
        <f aca="false">N18+Q18+N30+Q30+N42</f>
        <v>0</v>
      </c>
      <c r="R42" s="213" t="n">
        <f aca="false">P42-Q42</f>
        <v>0</v>
      </c>
      <c r="T42" s="209"/>
      <c r="U42" s="226"/>
      <c r="V42" s="193"/>
      <c r="W42" s="193"/>
      <c r="X42" s="195"/>
      <c r="Y42" s="196"/>
    </row>
    <row r="43" customFormat="false" ht="22.5" hidden="false" customHeight="true" outlineLevel="0" collapsed="false">
      <c r="B43" s="114" t="s">
        <v>114</v>
      </c>
      <c r="C43" s="114"/>
      <c r="D43" s="114"/>
      <c r="E43" s="115" t="n">
        <f aca="false">SUMIFS(X6:X160, V6:V160, "たいよう") + SUMIFS(X6:X160, V6:V160, "両方") / 2</f>
        <v>0</v>
      </c>
      <c r="G43" s="114" t="s">
        <v>114</v>
      </c>
      <c r="H43" s="114"/>
      <c r="I43" s="114"/>
      <c r="J43" s="115" t="n">
        <f aca="false">SUMIFS(X6:X160, V6:V160, "みらの") + SUMIFS(X6:X160, V6:V160, "両方") / 2</f>
        <v>0</v>
      </c>
      <c r="L43" s="214" t="s">
        <v>38</v>
      </c>
      <c r="M43" s="195"/>
      <c r="N43" s="216" t="n">
        <f aca="false">SUMIFS(X6:X160, U6:U160, "5week", W6:W160, "📋雑費")</f>
        <v>0</v>
      </c>
      <c r="O43" s="212" t="n">
        <f aca="false">M43-N43</f>
        <v>0</v>
      </c>
      <c r="P43" s="229" t="n">
        <f aca="false">M19+P19+M31+P31+M43</f>
        <v>0</v>
      </c>
      <c r="Q43" s="212" t="n">
        <f aca="false">N19+Q19+N31+Q31+N43</f>
        <v>0</v>
      </c>
      <c r="R43" s="213" t="n">
        <f aca="false">P43-Q43</f>
        <v>0</v>
      </c>
      <c r="T43" s="209"/>
      <c r="U43" s="226"/>
      <c r="V43" s="193"/>
      <c r="W43" s="193"/>
      <c r="X43" s="195"/>
      <c r="Y43" s="196"/>
    </row>
    <row r="44" customFormat="false" ht="22.5" hidden="false" customHeight="true" outlineLevel="0" collapsed="false">
      <c r="B44" s="114" t="s">
        <v>119</v>
      </c>
      <c r="C44" s="114"/>
      <c r="D44" s="114"/>
      <c r="E44" s="115" t="n">
        <f aca="false">E41-E42-E43</f>
        <v>0</v>
      </c>
      <c r="G44" s="114" t="s">
        <v>119</v>
      </c>
      <c r="H44" s="114"/>
      <c r="I44" s="114"/>
      <c r="J44" s="115" t="n">
        <f aca="false">J41-J42-J43</f>
        <v>0</v>
      </c>
      <c r="L44" s="214" t="s">
        <v>44</v>
      </c>
      <c r="M44" s="195"/>
      <c r="N44" s="216" t="n">
        <f aca="false">SUMIFS(X6:X160, U6:U160, "5week", W6:W160, "⛺趣味・娯楽")</f>
        <v>0</v>
      </c>
      <c r="O44" s="212" t="n">
        <f aca="false">M44-N44</f>
        <v>0</v>
      </c>
      <c r="P44" s="229" t="n">
        <f aca="false">M20+P20+M32+P32+M44</f>
        <v>0</v>
      </c>
      <c r="Q44" s="212" t="n">
        <f aca="false">N20+Q20+N32+Q32+N44</f>
        <v>0</v>
      </c>
      <c r="R44" s="213" t="n">
        <f aca="false">P44-Q44</f>
        <v>0</v>
      </c>
      <c r="T44" s="209"/>
      <c r="U44" s="226"/>
      <c r="V44" s="193"/>
      <c r="W44" s="193"/>
      <c r="X44" s="195"/>
      <c r="Y44" s="196"/>
    </row>
    <row r="45" customFormat="false" ht="22.5" hidden="false" customHeight="true" outlineLevel="0" collapsed="false">
      <c r="B45" s="116" t="s">
        <v>124</v>
      </c>
      <c r="C45" s="116"/>
      <c r="D45" s="116"/>
      <c r="E45" s="117" t="n">
        <f aca="false">E42+E44</f>
        <v>0</v>
      </c>
      <c r="G45" s="116" t="s">
        <v>124</v>
      </c>
      <c r="H45" s="116"/>
      <c r="I45" s="116"/>
      <c r="J45" s="117" t="n">
        <f aca="false">J42+J44</f>
        <v>0</v>
      </c>
      <c r="L45" s="214" t="s">
        <v>49</v>
      </c>
      <c r="M45" s="195"/>
      <c r="N45" s="216" t="n">
        <f aca="false">SUMIFS(X6:X160, U6:U160, "5week", W6:W160, "🍷交際費")</f>
        <v>0</v>
      </c>
      <c r="O45" s="212" t="n">
        <f aca="false">M45-N45</f>
        <v>0</v>
      </c>
      <c r="P45" s="229" t="n">
        <f aca="false">M21+P21+M33+P33+M45</f>
        <v>0</v>
      </c>
      <c r="Q45" s="212" t="n">
        <f aca="false">N21+Q21+N33+Q33+N45</f>
        <v>0</v>
      </c>
      <c r="R45" s="213" t="n">
        <f aca="false">P45-Q45</f>
        <v>0</v>
      </c>
      <c r="T45" s="209"/>
      <c r="U45" s="226"/>
      <c r="V45" s="193"/>
      <c r="W45" s="193"/>
      <c r="X45" s="195"/>
      <c r="Y45" s="196"/>
    </row>
    <row r="46" customFormat="false" ht="22.5" hidden="false" customHeight="true" outlineLevel="0" collapsed="false">
      <c r="L46" s="214" t="s">
        <v>52</v>
      </c>
      <c r="M46" s="195"/>
      <c r="N46" s="216" t="n">
        <f aca="false">SUMIFS(X6:X160, U6:U160, "5week", W6:W160, "👔衣服・美容")</f>
        <v>0</v>
      </c>
      <c r="O46" s="212" t="n">
        <f aca="false">M46-N46</f>
        <v>0</v>
      </c>
      <c r="P46" s="229" t="n">
        <f aca="false">M22+P22+M34+P34+M46</f>
        <v>0</v>
      </c>
      <c r="Q46" s="212" t="n">
        <f aca="false">N22+Q22+N34+Q34+N46</f>
        <v>0</v>
      </c>
      <c r="R46" s="213" t="n">
        <f aca="false">P46-Q46</f>
        <v>0</v>
      </c>
      <c r="T46" s="209"/>
      <c r="U46" s="226"/>
      <c r="V46" s="193"/>
      <c r="W46" s="193"/>
      <c r="X46" s="195"/>
      <c r="Y46" s="196"/>
    </row>
    <row r="47" customFormat="false" ht="22.5" hidden="false" customHeight="true" outlineLevel="0" collapsed="false">
      <c r="B47" s="118" t="s">
        <v>133</v>
      </c>
      <c r="C47" s="118"/>
      <c r="D47" s="119" t="s">
        <v>134</v>
      </c>
      <c r="E47" s="119"/>
      <c r="G47" s="118" t="s">
        <v>133</v>
      </c>
      <c r="H47" s="118"/>
      <c r="I47" s="119" t="s">
        <v>134</v>
      </c>
      <c r="J47" s="119"/>
      <c r="L47" s="214" t="s">
        <v>55</v>
      </c>
      <c r="M47" s="195"/>
      <c r="N47" s="216" t="n">
        <f aca="false">SUMIFS(X6:X160, U6:U160, "5week", W6:W160, "🏥健康・医療")</f>
        <v>0</v>
      </c>
      <c r="O47" s="212" t="n">
        <f aca="false">M47-N47</f>
        <v>0</v>
      </c>
      <c r="P47" s="229" t="n">
        <f aca="false">M23+P23+M35+P35+M47</f>
        <v>0</v>
      </c>
      <c r="Q47" s="212" t="n">
        <f aca="false">N23+Q23+N35+Q35+N47</f>
        <v>0</v>
      </c>
      <c r="R47" s="213" t="n">
        <f aca="false">P47-Q47</f>
        <v>0</v>
      </c>
      <c r="T47" s="209"/>
      <c r="U47" s="226"/>
      <c r="V47" s="193"/>
      <c r="W47" s="193"/>
      <c r="X47" s="195"/>
      <c r="Y47" s="196"/>
    </row>
    <row r="48" customFormat="false" ht="22.5" hidden="false" customHeight="true" outlineLevel="0" collapsed="false">
      <c r="B48" s="230" t="n">
        <f aca="false">IFERROR((E43/E41),0)</f>
        <v>0</v>
      </c>
      <c r="C48" s="230"/>
      <c r="D48" s="231" t="n">
        <f aca="false">IFERROR((E45/E41),0)</f>
        <v>0</v>
      </c>
      <c r="E48" s="231"/>
      <c r="G48" s="230" t="n">
        <f aca="false">IFERROR((J43/J41),0)</f>
        <v>0</v>
      </c>
      <c r="H48" s="230"/>
      <c r="I48" s="231" t="n">
        <f aca="false">IFERROR((J45/J41),0)</f>
        <v>0</v>
      </c>
      <c r="J48" s="231"/>
      <c r="L48" s="214" t="s">
        <v>57</v>
      </c>
      <c r="M48" s="195"/>
      <c r="N48" s="216" t="n">
        <f aca="false">SUMIFS(X6:X160, U6:U160, "5week", W6:W160, "🚃交通費")</f>
        <v>0</v>
      </c>
      <c r="O48" s="212" t="n">
        <f aca="false">M48-N48</f>
        <v>0</v>
      </c>
      <c r="P48" s="229" t="n">
        <f aca="false">M24+P24+M36+P36+M48</f>
        <v>0</v>
      </c>
      <c r="Q48" s="212" t="n">
        <f aca="false">N24+Q24+N36+Q36+N48</f>
        <v>0</v>
      </c>
      <c r="R48" s="213" t="n">
        <f aca="false">P48-Q48</f>
        <v>0</v>
      </c>
      <c r="T48" s="209"/>
      <c r="U48" s="226"/>
      <c r="V48" s="193"/>
      <c r="W48" s="193"/>
      <c r="X48" s="195"/>
      <c r="Y48" s="196"/>
    </row>
    <row r="49" customFormat="false" ht="22.5" hidden="false" customHeight="true" outlineLevel="0" collapsed="false">
      <c r="B49" s="230"/>
      <c r="C49" s="230"/>
      <c r="D49" s="231"/>
      <c r="E49" s="231"/>
      <c r="G49" s="230"/>
      <c r="H49" s="230"/>
      <c r="I49" s="231"/>
      <c r="J49" s="231"/>
      <c r="L49" s="224" t="s">
        <v>222</v>
      </c>
      <c r="M49" s="225" t="n">
        <f aca="false">SUM(M41:M48)</f>
        <v>0</v>
      </c>
      <c r="N49" s="225" t="n">
        <f aca="false">SUM(N41:N48)</f>
        <v>0</v>
      </c>
      <c r="O49" s="225" t="n">
        <f aca="false">SUM(O41:O48)</f>
        <v>0</v>
      </c>
      <c r="P49" s="225" t="n">
        <f aca="false">SUM(P41:P48)</f>
        <v>0</v>
      </c>
      <c r="Q49" s="225" t="n">
        <f aca="false">SUM(Q41:Q48)</f>
        <v>0</v>
      </c>
      <c r="R49" s="225" t="n">
        <f aca="false">SUM(R41:R48)</f>
        <v>0</v>
      </c>
      <c r="T49" s="209"/>
      <c r="U49" s="226"/>
      <c r="V49" s="193"/>
      <c r="W49" s="193"/>
      <c r="X49" s="195"/>
      <c r="Y49" s="196"/>
    </row>
    <row r="50" customFormat="false" ht="22.5" hidden="false" customHeight="true" outlineLevel="0" collapsed="false">
      <c r="B50" s="123" t="s">
        <v>146</v>
      </c>
      <c r="C50" s="123"/>
      <c r="D50" s="124" t="s">
        <v>147</v>
      </c>
      <c r="E50" s="124"/>
      <c r="G50" s="123" t="s">
        <v>146</v>
      </c>
      <c r="H50" s="123"/>
      <c r="I50" s="124" t="s">
        <v>147</v>
      </c>
      <c r="J50" s="124"/>
      <c r="T50" s="209"/>
      <c r="U50" s="226"/>
      <c r="V50" s="193"/>
      <c r="W50" s="193"/>
      <c r="X50" s="195"/>
      <c r="Y50" s="196"/>
    </row>
    <row r="51" customFormat="false" ht="22.5" hidden="false" customHeight="true" outlineLevel="0" collapsed="false">
      <c r="M51" s="232" t="s">
        <v>21</v>
      </c>
      <c r="N51" s="232"/>
      <c r="O51" s="232"/>
      <c r="P51" s="232"/>
      <c r="T51" s="209"/>
      <c r="U51" s="226"/>
      <c r="V51" s="193"/>
      <c r="W51" s="193"/>
      <c r="X51" s="195"/>
      <c r="Y51" s="196"/>
    </row>
    <row r="52" customFormat="false" ht="22.5" hidden="false" customHeight="true" outlineLevel="0" collapsed="false">
      <c r="M52" s="230" t="str">
        <f aca="false">IF(B85&gt;0,"たいよう→みらの",IF(B85&lt;0,"みらの→たいよう",""))</f>
        <v/>
      </c>
      <c r="N52" s="230"/>
      <c r="O52" s="234" t="n">
        <f aca="false">B85</f>
        <v>0</v>
      </c>
      <c r="P52" s="234"/>
      <c r="T52" s="209"/>
      <c r="U52" s="226"/>
      <c r="V52" s="193"/>
      <c r="W52" s="193"/>
      <c r="X52" s="195"/>
      <c r="Y52" s="196"/>
    </row>
    <row r="53" customFormat="false" ht="22.5" hidden="false" customHeight="true" outlineLevel="0" collapsed="false">
      <c r="M53" s="230"/>
      <c r="N53" s="230"/>
      <c r="O53" s="234"/>
      <c r="P53" s="234"/>
      <c r="T53" s="209"/>
      <c r="U53" s="226"/>
      <c r="V53" s="193"/>
      <c r="W53" s="193"/>
      <c r="X53" s="195"/>
      <c r="Y53" s="196"/>
    </row>
    <row r="54" customFormat="false" ht="22.5" hidden="false" customHeight="true" outlineLevel="0" collapsed="false">
      <c r="T54" s="209"/>
      <c r="U54" s="226"/>
      <c r="V54" s="193"/>
      <c r="W54" s="193"/>
      <c r="X54" s="195"/>
      <c r="Y54" s="196"/>
    </row>
    <row r="55" customFormat="false" ht="22.5" hidden="false" customHeight="true" outlineLevel="0" collapsed="false">
      <c r="T55" s="209"/>
      <c r="U55" s="226"/>
      <c r="V55" s="193"/>
      <c r="W55" s="226"/>
      <c r="X55" s="195"/>
      <c r="Y55" s="196"/>
    </row>
    <row r="56" customFormat="false" ht="22.5" hidden="false" customHeight="true" outlineLevel="0" collapsed="false">
      <c r="T56" s="209"/>
      <c r="U56" s="226"/>
      <c r="V56" s="193"/>
      <c r="W56" s="193"/>
      <c r="X56" s="195"/>
      <c r="Y56" s="196"/>
    </row>
    <row r="57" customFormat="false" ht="22.5" hidden="false" customHeight="true" outlineLevel="0" collapsed="false">
      <c r="T57" s="209"/>
      <c r="U57" s="226"/>
      <c r="V57" s="193"/>
      <c r="W57" s="193"/>
      <c r="X57" s="195"/>
      <c r="Y57" s="196"/>
    </row>
    <row r="58" customFormat="false" ht="22.5" hidden="false" customHeight="true" outlineLevel="0" collapsed="false">
      <c r="T58" s="209"/>
      <c r="U58" s="226"/>
      <c r="V58" s="193"/>
      <c r="W58" s="193"/>
      <c r="X58" s="195"/>
      <c r="Y58" s="196"/>
    </row>
    <row r="59" customFormat="false" ht="22.5" hidden="false" customHeight="true" outlineLevel="0" collapsed="false">
      <c r="T59" s="209"/>
      <c r="U59" s="226"/>
      <c r="V59" s="193"/>
      <c r="W59" s="193"/>
      <c r="X59" s="195"/>
      <c r="Y59" s="196"/>
    </row>
    <row r="60" customFormat="false" ht="22.5" hidden="false" customHeight="true" outlineLevel="0" collapsed="false">
      <c r="T60" s="209"/>
      <c r="U60" s="226"/>
      <c r="V60" s="193"/>
      <c r="W60" s="193"/>
      <c r="X60" s="195"/>
      <c r="Y60" s="196"/>
    </row>
    <row r="61" customFormat="false" ht="22.5" hidden="false" customHeight="true" outlineLevel="0" collapsed="false">
      <c r="T61" s="209"/>
      <c r="U61" s="226"/>
      <c r="V61" s="193"/>
      <c r="W61" s="193"/>
      <c r="X61" s="195"/>
      <c r="Y61" s="196"/>
    </row>
    <row r="62" customFormat="false" ht="22.5" hidden="false" customHeight="true" outlineLevel="0" collapsed="false">
      <c r="T62" s="209"/>
      <c r="U62" s="226"/>
      <c r="V62" s="193"/>
      <c r="W62" s="193"/>
      <c r="X62" s="195"/>
      <c r="Y62" s="196"/>
    </row>
    <row r="63" customFormat="false" ht="22.5" hidden="false" customHeight="true" outlineLevel="0" collapsed="false">
      <c r="T63" s="209"/>
      <c r="U63" s="226"/>
      <c r="V63" s="193"/>
      <c r="W63" s="193"/>
      <c r="X63" s="195"/>
      <c r="Y63" s="196"/>
    </row>
    <row r="64" customFormat="false" ht="22.5" hidden="false" customHeight="true" outlineLevel="0" collapsed="false">
      <c r="T64" s="209"/>
      <c r="U64" s="226"/>
      <c r="V64" s="193"/>
      <c r="W64" s="193"/>
      <c r="X64" s="195"/>
      <c r="Y64" s="196"/>
    </row>
    <row r="65" customFormat="false" ht="22.5" hidden="false" customHeight="true" outlineLevel="0" collapsed="false">
      <c r="T65" s="209"/>
      <c r="U65" s="226"/>
      <c r="V65" s="193"/>
      <c r="W65" s="193"/>
      <c r="X65" s="195"/>
      <c r="Y65" s="196"/>
    </row>
    <row r="66" customFormat="false" ht="22.5" hidden="false" customHeight="true" outlineLevel="0" collapsed="false">
      <c r="T66" s="209"/>
      <c r="U66" s="226"/>
      <c r="V66" s="193"/>
      <c r="W66" s="193"/>
      <c r="X66" s="195"/>
      <c r="Y66" s="196"/>
    </row>
    <row r="67" customFormat="false" ht="22.5" hidden="false" customHeight="true" outlineLevel="0" collapsed="false">
      <c r="T67" s="209"/>
      <c r="U67" s="226"/>
      <c r="V67" s="193"/>
      <c r="W67" s="193"/>
      <c r="X67" s="195"/>
      <c r="Y67" s="196"/>
    </row>
    <row r="68" customFormat="false" ht="22.5" hidden="false" customHeight="true" outlineLevel="0" collapsed="false">
      <c r="T68" s="209"/>
      <c r="U68" s="226"/>
      <c r="V68" s="193"/>
      <c r="W68" s="193"/>
      <c r="X68" s="195"/>
      <c r="Y68" s="196"/>
    </row>
    <row r="69" customFormat="false" ht="22.5" hidden="false" customHeight="true" outlineLevel="0" collapsed="false">
      <c r="T69" s="209"/>
      <c r="U69" s="226"/>
      <c r="V69" s="193"/>
      <c r="W69" s="193"/>
      <c r="X69" s="195"/>
      <c r="Y69" s="196"/>
    </row>
    <row r="70" customFormat="false" ht="22.5" hidden="false" customHeight="true" outlineLevel="0" collapsed="false">
      <c r="T70" s="209"/>
      <c r="U70" s="226"/>
      <c r="V70" s="193"/>
      <c r="W70" s="193"/>
      <c r="X70" s="195"/>
      <c r="Y70" s="196"/>
    </row>
    <row r="71" customFormat="false" ht="22.5" hidden="false" customHeight="true" outlineLevel="0" collapsed="false">
      <c r="T71" s="209"/>
      <c r="U71" s="226"/>
      <c r="V71" s="193"/>
      <c r="W71" s="193"/>
      <c r="X71" s="195"/>
      <c r="Y71" s="196"/>
    </row>
    <row r="72" customFormat="false" ht="22.5" hidden="false" customHeight="true" outlineLevel="0" collapsed="false">
      <c r="T72" s="209"/>
      <c r="U72" s="226"/>
      <c r="V72" s="193"/>
      <c r="W72" s="193"/>
      <c r="X72" s="195"/>
      <c r="Y72" s="196"/>
    </row>
    <row r="73" customFormat="false" ht="22.5" hidden="false" customHeight="true" outlineLevel="0" collapsed="false">
      <c r="T73" s="209"/>
      <c r="U73" s="226"/>
      <c r="V73" s="193"/>
      <c r="W73" s="193"/>
      <c r="X73" s="195"/>
      <c r="Y73" s="196"/>
    </row>
    <row r="74" customFormat="false" ht="22.5" hidden="false" customHeight="true" outlineLevel="0" collapsed="false">
      <c r="T74" s="209"/>
      <c r="U74" s="226"/>
      <c r="V74" s="193"/>
      <c r="W74" s="193"/>
      <c r="X74" s="195"/>
      <c r="Y74" s="196"/>
    </row>
    <row r="75" customFormat="false" ht="22.5" hidden="false" customHeight="true" outlineLevel="0" collapsed="false">
      <c r="T75" s="209"/>
      <c r="U75" s="226"/>
      <c r="V75" s="193"/>
      <c r="W75" s="193"/>
      <c r="X75" s="195"/>
      <c r="Y75" s="196"/>
    </row>
    <row r="76" customFormat="false" ht="22.5" hidden="false" customHeight="true" outlineLevel="0" collapsed="false">
      <c r="T76" s="209"/>
      <c r="U76" s="226"/>
      <c r="V76" s="193"/>
      <c r="W76" s="193"/>
      <c r="X76" s="195"/>
      <c r="Y76" s="196"/>
    </row>
    <row r="77" customFormat="false" ht="22.5" hidden="false" customHeight="true" outlineLevel="0" collapsed="false">
      <c r="T77" s="209"/>
      <c r="U77" s="226"/>
      <c r="V77" s="193"/>
      <c r="W77" s="193"/>
      <c r="X77" s="195"/>
      <c r="Y77" s="196"/>
    </row>
    <row r="78" customFormat="false" ht="22.5" hidden="false" customHeight="true" outlineLevel="0" collapsed="false">
      <c r="T78" s="209"/>
      <c r="U78" s="226"/>
      <c r="V78" s="193"/>
      <c r="W78" s="193"/>
      <c r="X78" s="195"/>
      <c r="Y78" s="196"/>
    </row>
    <row r="79" customFormat="false" ht="22.5" hidden="false" customHeight="true" outlineLevel="0" collapsed="false">
      <c r="T79" s="209"/>
      <c r="U79" s="226"/>
      <c r="V79" s="193"/>
      <c r="W79" s="193"/>
      <c r="X79" s="195"/>
      <c r="Y79" s="196"/>
    </row>
    <row r="80" customFormat="false" ht="22.5" hidden="false" customHeight="true" outlineLevel="0" collapsed="false">
      <c r="T80" s="214"/>
      <c r="U80" s="226"/>
      <c r="V80" s="193"/>
      <c r="W80" s="193"/>
      <c r="X80" s="195"/>
      <c r="Y80" s="196"/>
    </row>
    <row r="81" customFormat="false" ht="22.5" hidden="false" customHeight="true" outlineLevel="0" collapsed="false">
      <c r="T81" s="214"/>
      <c r="U81" s="226"/>
      <c r="V81" s="193"/>
      <c r="W81" s="193"/>
      <c r="X81" s="195"/>
      <c r="Y81" s="196"/>
    </row>
    <row r="82" customFormat="false" ht="22.5" hidden="false" customHeight="true" outlineLevel="0" collapsed="false">
      <c r="B82" s="235" t="n">
        <f aca="false">SUMIF(Z:Z, "☀",AA:AA)</f>
        <v>0</v>
      </c>
      <c r="C82" s="235" t="n">
        <f aca="false">SUMIF(Z:Z, "☆", AA:AA)</f>
        <v>0</v>
      </c>
      <c r="D82" s="235" t="n">
        <f aca="false">SUMIF(Z:Z, "♠", AA:AA)</f>
        <v>0</v>
      </c>
      <c r="E82" s="235" t="n">
        <f aca="false">SUMIF(Z:Z, "♡", AA:AA)</f>
        <v>0</v>
      </c>
      <c r="T82" s="214"/>
      <c r="U82" s="226"/>
      <c r="V82" s="193"/>
      <c r="W82" s="193"/>
      <c r="X82" s="195"/>
      <c r="Y82" s="196"/>
    </row>
    <row r="83" customFormat="false" ht="22.5" hidden="false" customHeight="true" outlineLevel="0" collapsed="false">
      <c r="B83" s="236" t="n">
        <f aca="false">SUMIF(Z:Z, "☀", X:X)</f>
        <v>0</v>
      </c>
      <c r="C83" s="236" t="n">
        <f aca="false">SUMIF(Z:Z, "☆", X:X)</f>
        <v>0</v>
      </c>
      <c r="D83" s="236" t="n">
        <f aca="false">SUMIF(Z:Z, "♠", X:X)</f>
        <v>0</v>
      </c>
      <c r="E83" s="236" t="n">
        <f aca="false">SUMIF(Z:Z, "♡", X:X)</f>
        <v>0</v>
      </c>
      <c r="T83" s="214"/>
      <c r="U83" s="226"/>
      <c r="V83" s="193"/>
      <c r="W83" s="193"/>
      <c r="X83" s="195"/>
      <c r="Y83" s="196"/>
    </row>
    <row r="84" customFormat="false" ht="22.5" hidden="false" customHeight="true" outlineLevel="0" collapsed="false">
      <c r="B84" s="236" t="n">
        <f aca="false">(B83+C83)/2</f>
        <v>0</v>
      </c>
      <c r="C84" s="236" t="n">
        <f aca="false">B84-B83</f>
        <v>0</v>
      </c>
      <c r="D84" s="236" t="n">
        <f aca="false">D83-E83</f>
        <v>0</v>
      </c>
      <c r="E84" s="53"/>
      <c r="T84" s="214"/>
      <c r="U84" s="226"/>
      <c r="V84" s="193"/>
      <c r="W84" s="193"/>
      <c r="X84" s="195"/>
      <c r="Y84" s="196"/>
    </row>
    <row r="85" customFormat="false" ht="22.5" hidden="false" customHeight="true" outlineLevel="0" collapsed="false">
      <c r="B85" s="236" t="n">
        <f aca="false">C84+D84+B82+E82-C82-D82</f>
        <v>0</v>
      </c>
      <c r="C85" s="53"/>
      <c r="D85" s="53"/>
      <c r="E85" s="53"/>
      <c r="T85" s="214"/>
      <c r="U85" s="226"/>
      <c r="V85" s="193"/>
      <c r="W85" s="193"/>
      <c r="X85" s="195"/>
      <c r="Y85" s="196"/>
    </row>
    <row r="86" customFormat="false" ht="22.5" hidden="false" customHeight="true" outlineLevel="0" collapsed="false">
      <c r="T86" s="214"/>
      <c r="U86" s="226"/>
      <c r="V86" s="193"/>
      <c r="W86" s="193"/>
      <c r="X86" s="195"/>
      <c r="Y86" s="196"/>
    </row>
    <row r="87" customFormat="false" ht="22.5" hidden="false" customHeight="true" outlineLevel="0" collapsed="false">
      <c r="T87" s="214"/>
      <c r="U87" s="226"/>
      <c r="V87" s="193"/>
      <c r="W87" s="193"/>
      <c r="X87" s="195"/>
      <c r="Y87" s="196"/>
    </row>
    <row r="88" customFormat="false" ht="22.5" hidden="false" customHeight="true" outlineLevel="0" collapsed="false">
      <c r="T88" s="214"/>
      <c r="U88" s="226"/>
      <c r="V88" s="193"/>
      <c r="W88" s="193"/>
      <c r="X88" s="195"/>
      <c r="Y88" s="196"/>
    </row>
    <row r="89" customFormat="false" ht="22.5" hidden="false" customHeight="true" outlineLevel="0" collapsed="false">
      <c r="T89" s="214"/>
      <c r="U89" s="226"/>
      <c r="V89" s="193"/>
      <c r="W89" s="193"/>
      <c r="X89" s="195"/>
      <c r="Y89" s="196"/>
    </row>
    <row r="90" customFormat="false" ht="22.5" hidden="false" customHeight="true" outlineLevel="0" collapsed="false">
      <c r="T90" s="214"/>
      <c r="U90" s="226"/>
      <c r="V90" s="193"/>
      <c r="W90" s="193"/>
      <c r="X90" s="195"/>
      <c r="Y90" s="196"/>
    </row>
    <row r="91" customFormat="false" ht="22.5" hidden="false" customHeight="true" outlineLevel="0" collapsed="false">
      <c r="T91" s="214"/>
      <c r="U91" s="226"/>
      <c r="V91" s="193"/>
      <c r="W91" s="193"/>
      <c r="X91" s="195"/>
      <c r="Y91" s="196"/>
    </row>
    <row r="92" customFormat="false" ht="22.5" hidden="false" customHeight="true" outlineLevel="0" collapsed="false">
      <c r="T92" s="214"/>
      <c r="U92" s="226"/>
      <c r="V92" s="193"/>
      <c r="W92" s="193"/>
      <c r="X92" s="195"/>
      <c r="Y92" s="196"/>
    </row>
    <row r="93" customFormat="false" ht="22.5" hidden="false" customHeight="true" outlineLevel="0" collapsed="false">
      <c r="T93" s="214"/>
      <c r="U93" s="226"/>
      <c r="V93" s="193"/>
      <c r="W93" s="193"/>
      <c r="X93" s="195"/>
      <c r="Y93" s="196"/>
    </row>
    <row r="94" customFormat="false" ht="22.5" hidden="false" customHeight="true" outlineLevel="0" collapsed="false">
      <c r="T94" s="214"/>
      <c r="U94" s="226"/>
      <c r="V94" s="193"/>
      <c r="W94" s="193"/>
      <c r="X94" s="195"/>
      <c r="Y94" s="196"/>
    </row>
    <row r="95" customFormat="false" ht="22.5" hidden="false" customHeight="true" outlineLevel="0" collapsed="false">
      <c r="T95" s="214"/>
      <c r="U95" s="226"/>
      <c r="V95" s="193"/>
      <c r="W95" s="193"/>
      <c r="X95" s="195"/>
      <c r="Y95" s="196"/>
    </row>
    <row r="96" customFormat="false" ht="22.5" hidden="false" customHeight="true" outlineLevel="0" collapsed="false">
      <c r="T96" s="214"/>
      <c r="U96" s="226"/>
      <c r="V96" s="193"/>
      <c r="W96" s="193"/>
      <c r="X96" s="195"/>
      <c r="Y96" s="196"/>
    </row>
    <row r="97" customFormat="false" ht="22.5" hidden="false" customHeight="true" outlineLevel="0" collapsed="false">
      <c r="T97" s="214"/>
      <c r="U97" s="226"/>
      <c r="V97" s="193"/>
      <c r="W97" s="193"/>
      <c r="X97" s="195"/>
      <c r="Y97" s="196"/>
    </row>
    <row r="98" customFormat="false" ht="22.5" hidden="false" customHeight="true" outlineLevel="0" collapsed="false">
      <c r="T98" s="214"/>
      <c r="U98" s="226"/>
      <c r="V98" s="193"/>
      <c r="W98" s="193"/>
      <c r="X98" s="195"/>
      <c r="Y98" s="196"/>
    </row>
    <row r="99" customFormat="false" ht="22.5" hidden="false" customHeight="true" outlineLevel="0" collapsed="false">
      <c r="T99" s="214"/>
      <c r="U99" s="226"/>
      <c r="V99" s="193"/>
      <c r="W99" s="193"/>
      <c r="X99" s="195"/>
      <c r="Y99" s="196"/>
    </row>
    <row r="100" customFormat="false" ht="22.5" hidden="false" customHeight="true" outlineLevel="0" collapsed="false">
      <c r="T100" s="214"/>
      <c r="U100" s="226"/>
      <c r="V100" s="193"/>
      <c r="W100" s="193"/>
      <c r="X100" s="195"/>
      <c r="Y100" s="196"/>
    </row>
    <row r="101" customFormat="false" ht="22.5" hidden="false" customHeight="true" outlineLevel="0" collapsed="false">
      <c r="T101" s="214"/>
      <c r="U101" s="226"/>
      <c r="V101" s="193"/>
      <c r="W101" s="193"/>
      <c r="X101" s="195"/>
      <c r="Y101" s="196"/>
    </row>
    <row r="102" customFormat="false" ht="22.5" hidden="false" customHeight="true" outlineLevel="0" collapsed="false">
      <c r="T102" s="214"/>
      <c r="U102" s="226"/>
      <c r="V102" s="193"/>
      <c r="W102" s="193"/>
      <c r="X102" s="195"/>
      <c r="Y102" s="196"/>
    </row>
    <row r="103" customFormat="false" ht="22.5" hidden="false" customHeight="true" outlineLevel="0" collapsed="false">
      <c r="T103" s="214"/>
      <c r="U103" s="226"/>
      <c r="V103" s="193"/>
      <c r="W103" s="193"/>
      <c r="X103" s="195"/>
      <c r="Y103" s="196"/>
    </row>
    <row r="104" customFormat="false" ht="22.5" hidden="false" customHeight="true" outlineLevel="0" collapsed="false">
      <c r="T104" s="214"/>
      <c r="U104" s="226"/>
      <c r="V104" s="193"/>
      <c r="W104" s="193"/>
      <c r="X104" s="195"/>
      <c r="Y104" s="196"/>
    </row>
    <row r="105" customFormat="false" ht="22.5" hidden="false" customHeight="true" outlineLevel="0" collapsed="false">
      <c r="T105" s="214"/>
      <c r="U105" s="226"/>
      <c r="V105" s="193"/>
      <c r="W105" s="193"/>
      <c r="X105" s="195"/>
      <c r="Y105" s="196"/>
    </row>
    <row r="106" customFormat="false" ht="22.5" hidden="false" customHeight="true" outlineLevel="0" collapsed="false">
      <c r="T106" s="214"/>
      <c r="U106" s="226"/>
      <c r="V106" s="193"/>
      <c r="W106" s="193"/>
      <c r="X106" s="195"/>
      <c r="Y106" s="196"/>
    </row>
    <row r="107" customFormat="false" ht="22.5" hidden="false" customHeight="true" outlineLevel="0" collapsed="false">
      <c r="T107" s="214"/>
      <c r="U107" s="226"/>
      <c r="V107" s="193"/>
      <c r="W107" s="193"/>
      <c r="X107" s="195"/>
      <c r="Y107" s="196"/>
    </row>
    <row r="108" customFormat="false" ht="22.5" hidden="false" customHeight="true" outlineLevel="0" collapsed="false">
      <c r="T108" s="214"/>
      <c r="U108" s="226"/>
      <c r="V108" s="193"/>
      <c r="W108" s="193"/>
      <c r="X108" s="195"/>
      <c r="Y108" s="196"/>
    </row>
    <row r="109" customFormat="false" ht="22.5" hidden="false" customHeight="true" outlineLevel="0" collapsed="false">
      <c r="T109" s="214"/>
      <c r="U109" s="226"/>
      <c r="V109" s="193"/>
      <c r="W109" s="193"/>
      <c r="X109" s="195"/>
      <c r="Y109" s="196"/>
    </row>
    <row r="110" customFormat="false" ht="22.5" hidden="false" customHeight="true" outlineLevel="0" collapsed="false">
      <c r="T110" s="214"/>
      <c r="U110" s="226"/>
      <c r="V110" s="193"/>
      <c r="W110" s="193"/>
      <c r="X110" s="195"/>
      <c r="Y110" s="196"/>
    </row>
    <row r="111" customFormat="false" ht="22.5" hidden="false" customHeight="true" outlineLevel="0" collapsed="false">
      <c r="T111" s="214"/>
      <c r="U111" s="226"/>
      <c r="V111" s="193"/>
      <c r="W111" s="193"/>
      <c r="X111" s="195"/>
      <c r="Y111" s="196"/>
    </row>
    <row r="112" customFormat="false" ht="22.5" hidden="false" customHeight="true" outlineLevel="0" collapsed="false">
      <c r="T112" s="214"/>
      <c r="U112" s="226"/>
      <c r="V112" s="193"/>
      <c r="W112" s="193"/>
      <c r="X112" s="195"/>
      <c r="Y112" s="196"/>
    </row>
    <row r="113" customFormat="false" ht="22.5" hidden="false" customHeight="true" outlineLevel="0" collapsed="false">
      <c r="T113" s="214"/>
      <c r="U113" s="226"/>
      <c r="V113" s="193"/>
      <c r="W113" s="193"/>
      <c r="X113" s="195"/>
      <c r="Y113" s="196"/>
    </row>
    <row r="114" customFormat="false" ht="22.5" hidden="false" customHeight="true" outlineLevel="0" collapsed="false">
      <c r="T114" s="214"/>
      <c r="U114" s="226"/>
      <c r="V114" s="193"/>
      <c r="W114" s="193"/>
      <c r="X114" s="195"/>
      <c r="Y114" s="196"/>
    </row>
    <row r="115" customFormat="false" ht="22.5" hidden="false" customHeight="true" outlineLevel="0" collapsed="false">
      <c r="T115" s="214"/>
      <c r="U115" s="226"/>
      <c r="V115" s="193"/>
      <c r="W115" s="193"/>
      <c r="X115" s="195"/>
      <c r="Y115" s="196"/>
    </row>
    <row r="116" customFormat="false" ht="22.5" hidden="false" customHeight="true" outlineLevel="0" collapsed="false">
      <c r="T116" s="214"/>
      <c r="U116" s="226"/>
      <c r="V116" s="193"/>
      <c r="W116" s="193"/>
      <c r="X116" s="195"/>
      <c r="Y116" s="196"/>
    </row>
    <row r="117" customFormat="false" ht="22.5" hidden="false" customHeight="true" outlineLevel="0" collapsed="false">
      <c r="T117" s="214"/>
      <c r="U117" s="226"/>
      <c r="V117" s="193"/>
      <c r="W117" s="193"/>
      <c r="X117" s="195"/>
      <c r="Y117" s="196"/>
    </row>
    <row r="118" customFormat="false" ht="22.5" hidden="false" customHeight="true" outlineLevel="0" collapsed="false">
      <c r="T118" s="214"/>
      <c r="U118" s="226"/>
      <c r="V118" s="193"/>
      <c r="W118" s="193"/>
      <c r="X118" s="195"/>
      <c r="Y118" s="196"/>
    </row>
    <row r="119" customFormat="false" ht="22.5" hidden="false" customHeight="true" outlineLevel="0" collapsed="false">
      <c r="T119" s="214"/>
      <c r="U119" s="226"/>
      <c r="V119" s="193"/>
      <c r="W119" s="193"/>
      <c r="X119" s="195"/>
      <c r="Y119" s="196"/>
    </row>
    <row r="120" customFormat="false" ht="22.5" hidden="false" customHeight="true" outlineLevel="0" collapsed="false">
      <c r="T120" s="214"/>
      <c r="U120" s="226"/>
      <c r="V120" s="193"/>
      <c r="W120" s="193"/>
      <c r="X120" s="195"/>
      <c r="Y120" s="196"/>
    </row>
    <row r="121" customFormat="false" ht="22.5" hidden="false" customHeight="true" outlineLevel="0" collapsed="false">
      <c r="T121" s="214"/>
      <c r="U121" s="226"/>
      <c r="V121" s="193"/>
      <c r="W121" s="193"/>
      <c r="X121" s="195"/>
      <c r="Y121" s="196"/>
    </row>
    <row r="122" customFormat="false" ht="22.5" hidden="false" customHeight="true" outlineLevel="0" collapsed="false">
      <c r="T122" s="214"/>
      <c r="U122" s="226"/>
      <c r="V122" s="193"/>
      <c r="W122" s="193"/>
      <c r="X122" s="195"/>
      <c r="Y122" s="196"/>
    </row>
    <row r="123" customFormat="false" ht="22.5" hidden="false" customHeight="true" outlineLevel="0" collapsed="false">
      <c r="T123" s="214"/>
      <c r="U123" s="226"/>
      <c r="V123" s="193"/>
      <c r="W123" s="193"/>
      <c r="X123" s="195"/>
      <c r="Y123" s="196"/>
    </row>
    <row r="124" customFormat="false" ht="22.5" hidden="false" customHeight="true" outlineLevel="0" collapsed="false">
      <c r="T124" s="214"/>
      <c r="U124" s="226"/>
      <c r="V124" s="193"/>
      <c r="W124" s="193"/>
      <c r="X124" s="195"/>
      <c r="Y124" s="196"/>
    </row>
    <row r="125" customFormat="false" ht="22.5" hidden="false" customHeight="true" outlineLevel="0" collapsed="false">
      <c r="T125" s="214"/>
      <c r="U125" s="226"/>
      <c r="V125" s="193"/>
      <c r="W125" s="193"/>
      <c r="X125" s="195"/>
      <c r="Y125" s="196"/>
    </row>
    <row r="126" customFormat="false" ht="22.5" hidden="false" customHeight="true" outlineLevel="0" collapsed="false">
      <c r="T126" s="214"/>
      <c r="U126" s="226"/>
      <c r="V126" s="193"/>
      <c r="W126" s="193"/>
      <c r="X126" s="195"/>
      <c r="Y126" s="196"/>
    </row>
    <row r="127" customFormat="false" ht="22.5" hidden="false" customHeight="true" outlineLevel="0" collapsed="false">
      <c r="T127" s="214"/>
      <c r="U127" s="226"/>
      <c r="V127" s="193"/>
      <c r="W127" s="193"/>
      <c r="X127" s="195"/>
      <c r="Y127" s="196"/>
    </row>
    <row r="128" customFormat="false" ht="22.5" hidden="false" customHeight="true" outlineLevel="0" collapsed="false">
      <c r="T128" s="214"/>
      <c r="U128" s="226"/>
      <c r="V128" s="193"/>
      <c r="W128" s="193"/>
      <c r="X128" s="195"/>
      <c r="Y128" s="196"/>
    </row>
    <row r="129" customFormat="false" ht="22.5" hidden="false" customHeight="true" outlineLevel="0" collapsed="false">
      <c r="T129" s="214"/>
      <c r="U129" s="226"/>
      <c r="V129" s="193"/>
      <c r="W129" s="193"/>
      <c r="X129" s="195"/>
      <c r="Y129" s="196"/>
    </row>
    <row r="130" customFormat="false" ht="22.5" hidden="false" customHeight="true" outlineLevel="0" collapsed="false">
      <c r="T130" s="214"/>
      <c r="U130" s="226"/>
      <c r="V130" s="193"/>
      <c r="W130" s="193"/>
      <c r="X130" s="195"/>
      <c r="Y130" s="196"/>
    </row>
    <row r="131" customFormat="false" ht="22.5" hidden="false" customHeight="true" outlineLevel="0" collapsed="false">
      <c r="T131" s="214"/>
      <c r="U131" s="226"/>
      <c r="V131" s="193"/>
      <c r="W131" s="193"/>
      <c r="X131" s="195"/>
      <c r="Y131" s="196"/>
    </row>
    <row r="132" customFormat="false" ht="22.5" hidden="false" customHeight="true" outlineLevel="0" collapsed="false">
      <c r="T132" s="214"/>
      <c r="U132" s="226"/>
      <c r="V132" s="193"/>
      <c r="W132" s="193"/>
      <c r="X132" s="195"/>
      <c r="Y132" s="196"/>
    </row>
    <row r="133" customFormat="false" ht="22.5" hidden="false" customHeight="true" outlineLevel="0" collapsed="false">
      <c r="T133" s="214"/>
      <c r="U133" s="226"/>
      <c r="V133" s="193"/>
      <c r="W133" s="193"/>
      <c r="X133" s="195"/>
      <c r="Y133" s="196"/>
    </row>
    <row r="134" customFormat="false" ht="22.5" hidden="false" customHeight="true" outlineLevel="0" collapsed="false">
      <c r="T134" s="214"/>
      <c r="U134" s="226"/>
      <c r="V134" s="193"/>
      <c r="W134" s="193"/>
      <c r="X134" s="195"/>
      <c r="Y134" s="196"/>
    </row>
    <row r="135" customFormat="false" ht="22.5" hidden="false" customHeight="true" outlineLevel="0" collapsed="false">
      <c r="T135" s="214"/>
      <c r="U135" s="226"/>
      <c r="V135" s="193"/>
      <c r="W135" s="193"/>
      <c r="X135" s="195"/>
      <c r="Y135" s="196"/>
    </row>
    <row r="136" customFormat="false" ht="22.5" hidden="false" customHeight="true" outlineLevel="0" collapsed="false">
      <c r="T136" s="214"/>
      <c r="U136" s="226"/>
      <c r="V136" s="193"/>
      <c r="W136" s="193"/>
      <c r="X136" s="195"/>
      <c r="Y136" s="196"/>
    </row>
    <row r="137" customFormat="false" ht="22.5" hidden="false" customHeight="true" outlineLevel="0" collapsed="false">
      <c r="T137" s="214"/>
      <c r="U137" s="226"/>
      <c r="V137" s="193"/>
      <c r="W137" s="193"/>
      <c r="X137" s="195"/>
      <c r="Y137" s="196"/>
    </row>
    <row r="138" customFormat="false" ht="22.5" hidden="false" customHeight="true" outlineLevel="0" collapsed="false">
      <c r="T138" s="214"/>
      <c r="U138" s="226"/>
      <c r="V138" s="193"/>
      <c r="W138" s="193"/>
      <c r="X138" s="195"/>
      <c r="Y138" s="196"/>
    </row>
    <row r="139" customFormat="false" ht="22.5" hidden="false" customHeight="true" outlineLevel="0" collapsed="false">
      <c r="T139" s="214"/>
      <c r="U139" s="226"/>
      <c r="V139" s="193"/>
      <c r="W139" s="193"/>
      <c r="X139" s="195"/>
      <c r="Y139" s="196"/>
    </row>
    <row r="140" customFormat="false" ht="22.5" hidden="false" customHeight="true" outlineLevel="0" collapsed="false">
      <c r="T140" s="214"/>
      <c r="U140" s="226"/>
      <c r="V140" s="193"/>
      <c r="W140" s="193"/>
      <c r="X140" s="195"/>
      <c r="Y140" s="196"/>
    </row>
    <row r="141" customFormat="false" ht="22.5" hidden="false" customHeight="true" outlineLevel="0" collapsed="false">
      <c r="T141" s="214"/>
      <c r="U141" s="226"/>
      <c r="V141" s="193"/>
      <c r="W141" s="193"/>
      <c r="X141" s="195"/>
      <c r="Y141" s="196"/>
    </row>
    <row r="142" customFormat="false" ht="22.5" hidden="false" customHeight="true" outlineLevel="0" collapsed="false">
      <c r="T142" s="214"/>
      <c r="U142" s="226"/>
      <c r="V142" s="193"/>
      <c r="W142" s="193"/>
      <c r="X142" s="195"/>
      <c r="Y142" s="196"/>
    </row>
    <row r="143" customFormat="false" ht="22.5" hidden="false" customHeight="true" outlineLevel="0" collapsed="false">
      <c r="T143" s="214"/>
      <c r="U143" s="226"/>
      <c r="V143" s="193"/>
      <c r="W143" s="193"/>
      <c r="X143" s="195"/>
      <c r="Y143" s="196"/>
    </row>
    <row r="144" customFormat="false" ht="22.5" hidden="false" customHeight="true" outlineLevel="0" collapsed="false">
      <c r="T144" s="214"/>
      <c r="U144" s="226"/>
      <c r="V144" s="193"/>
      <c r="W144" s="193"/>
      <c r="X144" s="195"/>
      <c r="Y144" s="196"/>
    </row>
    <row r="145" customFormat="false" ht="22.5" hidden="false" customHeight="true" outlineLevel="0" collapsed="false">
      <c r="T145" s="214"/>
      <c r="U145" s="226"/>
      <c r="V145" s="193"/>
      <c r="W145" s="193"/>
      <c r="X145" s="195"/>
      <c r="Y145" s="196"/>
    </row>
    <row r="146" customFormat="false" ht="22.5" hidden="false" customHeight="true" outlineLevel="0" collapsed="false">
      <c r="T146" s="214"/>
      <c r="U146" s="226"/>
      <c r="V146" s="193"/>
      <c r="W146" s="193"/>
      <c r="X146" s="195"/>
      <c r="Y146" s="196"/>
    </row>
    <row r="147" customFormat="false" ht="22.5" hidden="false" customHeight="true" outlineLevel="0" collapsed="false">
      <c r="T147" s="214"/>
      <c r="U147" s="226"/>
      <c r="V147" s="193"/>
      <c r="W147" s="193"/>
      <c r="X147" s="195"/>
      <c r="Y147" s="196"/>
    </row>
    <row r="148" customFormat="false" ht="22.5" hidden="false" customHeight="true" outlineLevel="0" collapsed="false">
      <c r="T148" s="214"/>
      <c r="U148" s="226"/>
      <c r="V148" s="193"/>
      <c r="W148" s="193"/>
      <c r="X148" s="195"/>
      <c r="Y148" s="196"/>
    </row>
    <row r="149" customFormat="false" ht="22.5" hidden="false" customHeight="true" outlineLevel="0" collapsed="false">
      <c r="T149" s="214"/>
      <c r="U149" s="226"/>
      <c r="V149" s="193"/>
      <c r="W149" s="193"/>
      <c r="X149" s="195"/>
      <c r="Y149" s="196"/>
    </row>
    <row r="150" customFormat="false" ht="22.5" hidden="false" customHeight="true" outlineLevel="0" collapsed="false">
      <c r="T150" s="214"/>
      <c r="U150" s="226"/>
      <c r="V150" s="193"/>
      <c r="W150" s="193"/>
      <c r="X150" s="195"/>
      <c r="Y150" s="196"/>
    </row>
    <row r="151" customFormat="false" ht="22.5" hidden="false" customHeight="true" outlineLevel="0" collapsed="false">
      <c r="T151" s="214"/>
      <c r="U151" s="226"/>
      <c r="V151" s="193"/>
      <c r="W151" s="193"/>
      <c r="X151" s="195"/>
      <c r="Y151" s="196"/>
    </row>
    <row r="152" customFormat="false" ht="22.5" hidden="false" customHeight="true" outlineLevel="0" collapsed="false">
      <c r="T152" s="209"/>
      <c r="U152" s="226"/>
      <c r="V152" s="193"/>
      <c r="W152" s="193"/>
      <c r="X152" s="195"/>
      <c r="Y152" s="196"/>
    </row>
    <row r="153" customFormat="false" ht="22.5" hidden="false" customHeight="true" outlineLevel="0" collapsed="false">
      <c r="T153" s="214"/>
      <c r="U153" s="226"/>
      <c r="V153" s="193"/>
      <c r="W153" s="193"/>
      <c r="X153" s="195"/>
      <c r="Y153" s="196"/>
    </row>
    <row r="154" customFormat="false" ht="22.5" hidden="false" customHeight="true" outlineLevel="0" collapsed="false">
      <c r="T154" s="214"/>
      <c r="U154" s="226"/>
      <c r="V154" s="193"/>
      <c r="W154" s="193"/>
      <c r="X154" s="195"/>
      <c r="Y154" s="196"/>
    </row>
    <row r="155" customFormat="false" ht="22.5" hidden="false" customHeight="true" outlineLevel="0" collapsed="false">
      <c r="T155" s="214"/>
      <c r="U155" s="226"/>
      <c r="V155" s="193"/>
      <c r="W155" s="193"/>
      <c r="X155" s="195"/>
      <c r="Y155" s="196"/>
    </row>
    <row r="156" customFormat="false" ht="22.5" hidden="false" customHeight="true" outlineLevel="0" collapsed="false">
      <c r="T156" s="214"/>
      <c r="U156" s="226"/>
      <c r="V156" s="193"/>
      <c r="W156" s="193"/>
      <c r="X156" s="195"/>
      <c r="Y156" s="196"/>
    </row>
    <row r="157" customFormat="false" ht="22.5" hidden="false" customHeight="true" outlineLevel="0" collapsed="false">
      <c r="T157" s="214"/>
      <c r="U157" s="226"/>
      <c r="V157" s="193"/>
      <c r="W157" s="193"/>
      <c r="X157" s="195"/>
      <c r="Y157" s="196"/>
    </row>
    <row r="158" customFormat="false" ht="22.5" hidden="false" customHeight="true" outlineLevel="0" collapsed="false">
      <c r="T158" s="214"/>
      <c r="U158" s="226"/>
      <c r="V158" s="193"/>
      <c r="W158" s="193"/>
      <c r="X158" s="195"/>
      <c r="Y158" s="196"/>
    </row>
    <row r="159" customFormat="false" ht="22.5" hidden="false" customHeight="true" outlineLevel="0" collapsed="false">
      <c r="T159" s="214"/>
      <c r="U159" s="226"/>
      <c r="V159" s="193"/>
      <c r="W159" s="193"/>
      <c r="X159" s="195"/>
      <c r="Y159" s="196"/>
    </row>
    <row r="160" customFormat="false" ht="22.5" hidden="false" customHeight="true" outlineLevel="0" collapsed="false">
      <c r="T160" s="237"/>
      <c r="U160" s="238"/>
      <c r="V160" s="238"/>
      <c r="W160" s="238"/>
      <c r="X160" s="239"/>
      <c r="Y160" s="240"/>
    </row>
    <row r="161" customFormat="false" ht="22.5" hidden="false" customHeight="true" outlineLevel="0" collapsed="false"/>
    <row r="162" customFormat="false" ht="22.5" hidden="false" customHeight="true" outlineLevel="0" collapsed="false"/>
    <row r="163" customFormat="false" ht="22.5" hidden="false" customHeight="true" outlineLevel="0" collapsed="false"/>
    <row r="164" customFormat="false" ht="22.5" hidden="false" customHeight="true" outlineLevel="0" collapsed="false"/>
    <row r="165" customFormat="false" ht="22.5" hidden="false" customHeight="true" outlineLevel="0" collapsed="false"/>
    <row r="166" customFormat="false" ht="22.5" hidden="false" customHeight="true" outlineLevel="0" collapsed="false"/>
    <row r="167" customFormat="false" ht="22.5" hidden="false" customHeight="true" outlineLevel="0" collapsed="false"/>
    <row r="168" customFormat="false" ht="22.5" hidden="false" customHeight="true" outlineLevel="0" collapsed="false"/>
    <row r="169" customFormat="false" ht="22.5" hidden="false" customHeight="true" outlineLevel="0" collapsed="false"/>
    <row r="170" customFormat="false" ht="22.5" hidden="false" customHeight="true" outlineLevel="0" collapsed="false"/>
    <row r="171" customFormat="false" ht="22.5" hidden="false" customHeight="true" outlineLevel="0" collapsed="false"/>
    <row r="172" customFormat="false" ht="22.5" hidden="false" customHeight="true" outlineLevel="0" collapsed="false"/>
    <row r="173" customFormat="false" ht="22.5" hidden="false" customHeight="true" outlineLevel="0" collapsed="false"/>
    <row r="174" customFormat="false" ht="22.5" hidden="false" customHeight="true" outlineLevel="0" collapsed="false"/>
    <row r="175" customFormat="false" ht="22.5" hidden="false" customHeight="true" outlineLevel="0" collapsed="false"/>
    <row r="176" customFormat="false" ht="22.5" hidden="false" customHeight="true" outlineLevel="0" collapsed="false"/>
    <row r="177" customFormat="false" ht="22.5" hidden="false" customHeight="true" outlineLevel="0" collapsed="false"/>
    <row r="178" customFormat="false" ht="22.5" hidden="false" customHeight="true" outlineLevel="0" collapsed="false"/>
    <row r="179" customFormat="false" ht="22.5" hidden="false" customHeight="true" outlineLevel="0" collapsed="false"/>
    <row r="180" customFormat="false" ht="22.5" hidden="false" customHeight="true" outlineLevel="0" collapsed="false"/>
    <row r="181" customFormat="false" ht="22.5" hidden="false" customHeight="true" outlineLevel="0" collapsed="false"/>
  </sheetData>
  <autoFilter ref="U5:W154"/>
  <mergeCells count="103">
    <mergeCell ref="B1:C2"/>
    <mergeCell ref="E1:J1"/>
    <mergeCell ref="B3:C3"/>
    <mergeCell ref="T3:Y3"/>
    <mergeCell ref="B5:E5"/>
    <mergeCell ref="G5:J5"/>
    <mergeCell ref="B6:C6"/>
    <mergeCell ref="G6:H6"/>
    <mergeCell ref="B7:C7"/>
    <mergeCell ref="G7:H7"/>
    <mergeCell ref="B8:C8"/>
    <mergeCell ref="G8:H8"/>
    <mergeCell ref="B9:C9"/>
    <mergeCell ref="G9:H9"/>
    <mergeCell ref="B10:C10"/>
    <mergeCell ref="G10:H10"/>
    <mergeCell ref="B11:C11"/>
    <mergeCell ref="G11:H11"/>
    <mergeCell ref="B12:C12"/>
    <mergeCell ref="G12:H12"/>
    <mergeCell ref="B13:C13"/>
    <mergeCell ref="G13:H13"/>
    <mergeCell ref="L13:R13"/>
    <mergeCell ref="B14:C14"/>
    <mergeCell ref="G14:H14"/>
    <mergeCell ref="B15:C15"/>
    <mergeCell ref="G15:H15"/>
    <mergeCell ref="L15:L16"/>
    <mergeCell ref="M15:O15"/>
    <mergeCell ref="P15:R15"/>
    <mergeCell ref="B16:C16"/>
    <mergeCell ref="B17:C17"/>
    <mergeCell ref="B19:E19"/>
    <mergeCell ref="G19:J19"/>
    <mergeCell ref="B20:E20"/>
    <mergeCell ref="G20:J20"/>
    <mergeCell ref="B21:C21"/>
    <mergeCell ref="G21:H21"/>
    <mergeCell ref="B22:C22"/>
    <mergeCell ref="G22:H22"/>
    <mergeCell ref="B23:C23"/>
    <mergeCell ref="G23:H23"/>
    <mergeCell ref="B24:C24"/>
    <mergeCell ref="G24:H24"/>
    <mergeCell ref="B25:C25"/>
    <mergeCell ref="G25:H25"/>
    <mergeCell ref="B26:C26"/>
    <mergeCell ref="G26:H26"/>
    <mergeCell ref="B27:C27"/>
    <mergeCell ref="G27:H27"/>
    <mergeCell ref="L27:L28"/>
    <mergeCell ref="M27:O27"/>
    <mergeCell ref="P27:R27"/>
    <mergeCell ref="B28:C28"/>
    <mergeCell ref="G28:H28"/>
    <mergeCell ref="B29:C29"/>
    <mergeCell ref="G29:H29"/>
    <mergeCell ref="B30:C30"/>
    <mergeCell ref="G30:H30"/>
    <mergeCell ref="B31:C31"/>
    <mergeCell ref="G31:H31"/>
    <mergeCell ref="B32:C32"/>
    <mergeCell ref="G32:H32"/>
    <mergeCell ref="B33:C33"/>
    <mergeCell ref="G33:H33"/>
    <mergeCell ref="B34:C34"/>
    <mergeCell ref="G34:H34"/>
    <mergeCell ref="B35:C35"/>
    <mergeCell ref="G35:H35"/>
    <mergeCell ref="B36:C36"/>
    <mergeCell ref="G36:H36"/>
    <mergeCell ref="G37:H37"/>
    <mergeCell ref="G38:H38"/>
    <mergeCell ref="L39:L40"/>
    <mergeCell ref="M39:O39"/>
    <mergeCell ref="P39:R39"/>
    <mergeCell ref="B40:D40"/>
    <mergeCell ref="G40:I40"/>
    <mergeCell ref="B41:D41"/>
    <mergeCell ref="G41:I41"/>
    <mergeCell ref="B42:D42"/>
    <mergeCell ref="G42:I42"/>
    <mergeCell ref="B43:D43"/>
    <mergeCell ref="G43:I43"/>
    <mergeCell ref="B44:D44"/>
    <mergeCell ref="G44:I44"/>
    <mergeCell ref="B45:D45"/>
    <mergeCell ref="G45:I45"/>
    <mergeCell ref="B47:C47"/>
    <mergeCell ref="D47:E47"/>
    <mergeCell ref="G47:H47"/>
    <mergeCell ref="I47:J47"/>
    <mergeCell ref="B48:C49"/>
    <mergeCell ref="D48:E49"/>
    <mergeCell ref="G48:H49"/>
    <mergeCell ref="I48:J49"/>
    <mergeCell ref="B50:C50"/>
    <mergeCell ref="D50:E50"/>
    <mergeCell ref="G50:H50"/>
    <mergeCell ref="I50:J50"/>
    <mergeCell ref="M51:P51"/>
    <mergeCell ref="M52:N53"/>
    <mergeCell ref="O52:P53"/>
  </mergeCells>
  <conditionalFormatting sqref="L6:R11">
    <cfRule type="expression" priority="2" aboveAverage="0" equalAverage="0" bottom="0" percent="0" rank="0" text="" dxfId="3">
      <formula>WEEKDAY(L6)=7</formula>
    </cfRule>
    <cfRule type="expression" priority="3" aboveAverage="0" equalAverage="0" bottom="0" percent="0" rank="0" text="" dxfId="4">
      <formula>WEEKDAY(L6)=1</formula>
    </cfRule>
  </conditionalFormatting>
  <dataValidations count="5">
    <dataValidation allowBlank="true" errorStyle="stop" operator="between" showDropDown="false" showErrorMessage="true" showInputMessage="true" sqref="V6:V160" type="list">
      <formula1>"たいよう,みらの,両方"</formula1>
      <formula2>0</formula2>
    </dataValidation>
    <dataValidation allowBlank="true" errorStyle="stop" operator="between" showDropDown="false" showErrorMessage="true" showInputMessage="true" sqref="U6:U160" type="list">
      <formula1>"1week,2week,3week,4week,5week"</formula1>
      <formula2>0</formula2>
    </dataValidation>
    <dataValidation allowBlank="true" errorStyle="stop" operator="between" showDropDown="false" showErrorMessage="true" showInputMessage="true" sqref="D7:D15 I7:I14 D16 D22:D35 I22:I37" type="list">
      <formula1>"たいよう,みらの"</formula1>
      <formula2>0</formula2>
    </dataValidation>
    <dataValidation allowBlank="true" errorStyle="stop" operator="between" showDropDown="false" showErrorMessage="true" showInputMessage="true" sqref="W6:W14" type="list">
      <formula1>"🍙食費,🧴日用品,📋雑費,⛺趣味・娯楽,🍷交際費,👔衣服・美容,🏥健康・医療,🚃交通費,🏠住宅,🔥💡光熱費,💧水道代,📱通信費,📺サブスク,🎓奨学金,📜保険,💳現金・カード,💪自己投資,❔その他"</formula1>
      <formula2>0</formula2>
    </dataValidation>
    <dataValidation allowBlank="true" errorStyle="stop" operator="between" showDropDown="false" showErrorMessage="true" showInputMessage="true" sqref="W55" type="list">
      <formula1>"🍙食費,🧴日用品,📋雑費,⛺趣味・娯楽,🍷交際費,👔衣服・美容,🏥健康・医療,🚃交通費,🏠住宅,🔥💡光熱費,💧水道代,📱通信費,📺サブスク,🎓奨学金,📜保険"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2025-12-10T12:48:15Z</dcterms:created>
  <dc:creator>大耀 若松</dc:creator>
  <dc:description/>
  <dc:language>en-US</dc:language>
  <cp:lastModifiedBy/>
  <dcterms:modified xsi:type="dcterms:W3CDTF">2026-07-16T11:51:00Z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